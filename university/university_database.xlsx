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s" sheetId="1" state="visible" r:id="rId1"/>
    <sheet xmlns:r="http://schemas.openxmlformats.org/officeDocument/2006/relationships" name="Courses" sheetId="2" state="visible" r:id="rId2"/>
    <sheet xmlns:r="http://schemas.openxmlformats.org/officeDocument/2006/relationships" name="Grades" sheetId="3" state="visible" r:id="rId3"/>
    <sheet xmlns:r="http://schemas.openxmlformats.org/officeDocument/2006/relationships" name="Grade Scale" sheetId="4" state="visible" r:id="rId4"/>
    <sheet xmlns:r="http://schemas.openxmlformats.org/officeDocument/2006/relationships" name="GPA Summary" sheetId="5" state="visible" r:id="rId5"/>
  </sheets>
  <definedNames>
    <definedName name="_xlnm._FilterDatabase" localSheetId="0" hidden="1">'Students'!$A$1:$H$25</definedName>
    <definedName name="_xlnm._FilterDatabase" localSheetId="1" hidden="1">'Courses'!$A$1:$C$154</definedName>
    <definedName name="_xlnm._FilterDatabase" localSheetId="2" hidden="1">'Grades'!$A$1:$L$361</definedName>
    <definedName name="_xlnm._FilterDatabase" localSheetId="3" hidden="1">'Grade Scale'!$A$1:$D$12</definedName>
    <definedName name="_xlnm._FilterDatabase" localSheetId="4" hidden="1">'GPA Summary'!$A$1:$J$25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4D"/>
      </patternFill>
    </fill>
  </fills>
  <borders count="2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30" customWidth="1" min="4" max="4"/>
    <col width="36" customWidth="1" min="5" max="5"/>
    <col width="10" customWidth="1" min="6" max="6"/>
    <col width="15" customWidth="1" min="7" max="7"/>
    <col width="11" customWidth="1" min="8" max="8"/>
  </cols>
  <sheetData>
    <row r="1" ht="30" customHeight="1">
      <c r="A1" s="1" t="inlineStr">
        <is>
          <t>Student ID</t>
        </is>
      </c>
      <c r="B1" s="1" t="inlineStr">
        <is>
          <t>Full Name</t>
        </is>
      </c>
      <c r="C1" s="1" t="inlineStr">
        <is>
          <t>University Email</t>
        </is>
      </c>
      <c r="D1" s="1" t="inlineStr">
        <is>
          <t>Faculty</t>
        </is>
      </c>
      <c r="E1" s="1" t="inlineStr">
        <is>
          <t>Program</t>
        </is>
      </c>
      <c r="F1" s="1" t="inlineStr">
        <is>
          <t>Level</t>
        </is>
      </c>
      <c r="G1" s="1" t="inlineStr">
        <is>
          <t>Enrollment Date</t>
        </is>
      </c>
      <c r="H1" s="1" t="inlineStr">
        <is>
          <t>Status</t>
        </is>
      </c>
    </row>
    <row r="2">
      <c r="A2" s="2" t="inlineStr">
        <is>
          <t>m240101</t>
        </is>
      </c>
      <c r="B2" s="2" t="inlineStr">
        <is>
          <t>Aziza Karimova</t>
        </is>
      </c>
      <c r="C2" s="2" t="inlineStr">
        <is>
          <t>akarimova@uad.edu</t>
        </is>
      </c>
      <c r="D2" s="2" t="inlineStr">
        <is>
          <t>Faculty of Business</t>
        </is>
      </c>
      <c r="E2" s="2" t="inlineStr">
        <is>
          <t>Master of Global Management</t>
        </is>
      </c>
      <c r="F2" s="2" t="inlineStr">
        <is>
          <t>Master</t>
        </is>
      </c>
      <c r="G2" s="2" t="inlineStr">
        <is>
          <t>Fall 2024</t>
        </is>
      </c>
      <c r="H2" s="2" t="inlineStr">
        <is>
          <t>Active</t>
        </is>
      </c>
    </row>
    <row r="3">
      <c r="A3" s="2" t="inlineStr">
        <is>
          <t>m240102</t>
        </is>
      </c>
      <c r="B3" s="2" t="inlineStr">
        <is>
          <t>Rustam Nazarov</t>
        </is>
      </c>
      <c r="C3" s="2" t="inlineStr">
        <is>
          <t>rnazarov@uad.edu</t>
        </is>
      </c>
      <c r="D3" s="2" t="inlineStr">
        <is>
          <t>Faculty of Business</t>
        </is>
      </c>
      <c r="E3" s="2" t="inlineStr">
        <is>
          <t>Master of Global Management</t>
        </is>
      </c>
      <c r="F3" s="2" t="inlineStr">
        <is>
          <t>Master</t>
        </is>
      </c>
      <c r="G3" s="2" t="inlineStr">
        <is>
          <t>Fall 2024</t>
        </is>
      </c>
      <c r="H3" s="2" t="inlineStr">
        <is>
          <t>Active</t>
        </is>
      </c>
    </row>
    <row r="4">
      <c r="A4" s="2" t="inlineStr">
        <is>
          <t>m240103</t>
        </is>
      </c>
      <c r="B4" s="2" t="inlineStr">
        <is>
          <t>Shahzoda Ergasheva</t>
        </is>
      </c>
      <c r="C4" s="2" t="inlineStr">
        <is>
          <t>sergasheva@uad.edu</t>
        </is>
      </c>
      <c r="D4" s="2" t="inlineStr">
        <is>
          <t>Faculty of Business</t>
        </is>
      </c>
      <c r="E4" s="2" t="inlineStr">
        <is>
          <t>Master of Business Administration</t>
        </is>
      </c>
      <c r="F4" s="2" t="inlineStr">
        <is>
          <t>Master</t>
        </is>
      </c>
      <c r="G4" s="2" t="inlineStr">
        <is>
          <t>Fall 2024</t>
        </is>
      </c>
      <c r="H4" s="2" t="inlineStr">
        <is>
          <t>Active</t>
        </is>
      </c>
    </row>
    <row r="5">
      <c r="A5" s="2" t="inlineStr">
        <is>
          <t>m240104</t>
        </is>
      </c>
      <c r="B5" s="2" t="inlineStr">
        <is>
          <t>Timur Abdullaev</t>
        </is>
      </c>
      <c r="C5" s="2" t="inlineStr">
        <is>
          <t>tabdullaev@uad.edu</t>
        </is>
      </c>
      <c r="D5" s="2" t="inlineStr">
        <is>
          <t>Faculty of Computer Science</t>
        </is>
      </c>
      <c r="E5" s="2" t="inlineStr">
        <is>
          <t>Bachelor of Software Engineering</t>
        </is>
      </c>
      <c r="F5" s="2" t="inlineStr">
        <is>
          <t>Bachelor</t>
        </is>
      </c>
      <c r="G5" s="2" t="inlineStr">
        <is>
          <t>Fall 2024</t>
        </is>
      </c>
      <c r="H5" s="2" t="inlineStr">
        <is>
          <t>Active</t>
        </is>
      </c>
    </row>
    <row r="6">
      <c r="A6" s="2" t="inlineStr">
        <is>
          <t>m240105</t>
        </is>
      </c>
      <c r="B6" s="2" t="inlineStr">
        <is>
          <t>Malika Usmonova</t>
        </is>
      </c>
      <c r="C6" s="2" t="inlineStr">
        <is>
          <t>musmonova@uad.edu</t>
        </is>
      </c>
      <c r="D6" s="2" t="inlineStr">
        <is>
          <t>Faculty of Computer Science</t>
        </is>
      </c>
      <c r="E6" s="2" t="inlineStr">
        <is>
          <t>Master of Data Science</t>
        </is>
      </c>
      <c r="F6" s="2" t="inlineStr">
        <is>
          <t>Master</t>
        </is>
      </c>
      <c r="G6" s="2" t="inlineStr">
        <is>
          <t>Fall 2024</t>
        </is>
      </c>
      <c r="H6" s="2" t="inlineStr">
        <is>
          <t>Active</t>
        </is>
      </c>
    </row>
    <row r="7">
      <c r="A7" s="2" t="inlineStr">
        <is>
          <t>m240106</t>
        </is>
      </c>
      <c r="B7" s="2" t="inlineStr">
        <is>
          <t>Bobur Rakhmonov</t>
        </is>
      </c>
      <c r="C7" s="2" t="inlineStr">
        <is>
          <t>brakhmonov@uad.edu</t>
        </is>
      </c>
      <c r="D7" s="2" t="inlineStr">
        <is>
          <t>Faculty of Economics &amp; Finance</t>
        </is>
      </c>
      <c r="E7" s="2" t="inlineStr">
        <is>
          <t>Bachelor of Finance</t>
        </is>
      </c>
      <c r="F7" s="2" t="inlineStr">
        <is>
          <t>Bachelor</t>
        </is>
      </c>
      <c r="G7" s="2" t="inlineStr">
        <is>
          <t>Fall 2024</t>
        </is>
      </c>
      <c r="H7" s="2" t="inlineStr">
        <is>
          <t>On Leave</t>
        </is>
      </c>
    </row>
    <row r="8">
      <c r="A8" s="2" t="inlineStr">
        <is>
          <t>m240107</t>
        </is>
      </c>
      <c r="B8" s="2" t="inlineStr">
        <is>
          <t>Kamila Sharipova</t>
        </is>
      </c>
      <c r="C8" s="2" t="inlineStr">
        <is>
          <t>ksharipova@uad.edu</t>
        </is>
      </c>
      <c r="D8" s="2" t="inlineStr">
        <is>
          <t>Faculty of Social Sciences</t>
        </is>
      </c>
      <c r="E8" s="2" t="inlineStr">
        <is>
          <t>Master of International Relations</t>
        </is>
      </c>
      <c r="F8" s="2" t="inlineStr">
        <is>
          <t>Master</t>
        </is>
      </c>
      <c r="G8" s="2" t="inlineStr">
        <is>
          <t>Fall 2024</t>
        </is>
      </c>
      <c r="H8" s="2" t="inlineStr">
        <is>
          <t>Active</t>
        </is>
      </c>
    </row>
    <row r="9">
      <c r="A9" s="2" t="inlineStr">
        <is>
          <t>m240108</t>
        </is>
      </c>
      <c r="B9" s="2" t="inlineStr">
        <is>
          <t>Doniyor Kholmatov</t>
        </is>
      </c>
      <c r="C9" s="2" t="inlineStr">
        <is>
          <t>dkholmatov@uad.edu</t>
        </is>
      </c>
      <c r="D9" s="2" t="inlineStr">
        <is>
          <t>Faculty of Engineering</t>
        </is>
      </c>
      <c r="E9" s="2" t="inlineStr">
        <is>
          <t>Bachelor of Civil Engineering</t>
        </is>
      </c>
      <c r="F9" s="2" t="inlineStr">
        <is>
          <t>Bachelor</t>
        </is>
      </c>
      <c r="G9" s="2" t="inlineStr">
        <is>
          <t>Fall 2024</t>
        </is>
      </c>
      <c r="H9" s="2" t="inlineStr">
        <is>
          <t>Active</t>
        </is>
      </c>
    </row>
    <row r="10">
      <c r="A10" s="2" t="inlineStr">
        <is>
          <t>m250201</t>
        </is>
      </c>
      <c r="B10" s="2" t="inlineStr">
        <is>
          <t>Alisher Juraev</t>
        </is>
      </c>
      <c r="C10" s="2" t="inlineStr">
        <is>
          <t>ajuraev@uad.edu</t>
        </is>
      </c>
      <c r="D10" s="2" t="inlineStr">
        <is>
          <t>Faculty of Computer Science</t>
        </is>
      </c>
      <c r="E10" s="2" t="inlineStr">
        <is>
          <t>Bachelor of Software Engineering</t>
        </is>
      </c>
      <c r="F10" s="2" t="inlineStr">
        <is>
          <t>Bachelor</t>
        </is>
      </c>
      <c r="G10" s="2" t="inlineStr">
        <is>
          <t>Spring 2025</t>
        </is>
      </c>
      <c r="H10" s="2" t="inlineStr">
        <is>
          <t>Active</t>
        </is>
      </c>
    </row>
    <row r="11">
      <c r="A11" s="2" t="inlineStr">
        <is>
          <t>m250202</t>
        </is>
      </c>
      <c r="B11" s="2" t="inlineStr">
        <is>
          <t>Fariza Yunusova</t>
        </is>
      </c>
      <c r="C11" s="2" t="inlineStr">
        <is>
          <t>fyunusova@uad.edu</t>
        </is>
      </c>
      <c r="D11" s="2" t="inlineStr">
        <is>
          <t>Faculty of Business</t>
        </is>
      </c>
      <c r="E11" s="2" t="inlineStr">
        <is>
          <t>Master of Business Administration</t>
        </is>
      </c>
      <c r="F11" s="2" t="inlineStr">
        <is>
          <t>Master</t>
        </is>
      </c>
      <c r="G11" s="2" t="inlineStr">
        <is>
          <t>Spring 2025</t>
        </is>
      </c>
      <c r="H11" s="2" t="inlineStr">
        <is>
          <t>Active</t>
        </is>
      </c>
    </row>
    <row r="12">
      <c r="A12" s="2" t="inlineStr">
        <is>
          <t>m250203</t>
        </is>
      </c>
      <c r="B12" s="2" t="inlineStr">
        <is>
          <t>Sardor Tursunov</t>
        </is>
      </c>
      <c r="C12" s="2" t="inlineStr">
        <is>
          <t>stursunov@uad.edu</t>
        </is>
      </c>
      <c r="D12" s="2" t="inlineStr">
        <is>
          <t>Faculty of Business</t>
        </is>
      </c>
      <c r="E12" s="2" t="inlineStr">
        <is>
          <t>Master of Global Management</t>
        </is>
      </c>
      <c r="F12" s="2" t="inlineStr">
        <is>
          <t>Master</t>
        </is>
      </c>
      <c r="G12" s="2" t="inlineStr">
        <is>
          <t>Spring 2025</t>
        </is>
      </c>
      <c r="H12" s="2" t="inlineStr">
        <is>
          <t>Active</t>
        </is>
      </c>
    </row>
    <row r="13">
      <c r="A13" s="2" t="inlineStr">
        <is>
          <t>m250204</t>
        </is>
      </c>
      <c r="B13" s="2" t="inlineStr">
        <is>
          <t>Madina Rakhimova</t>
        </is>
      </c>
      <c r="C13" s="2" t="inlineStr">
        <is>
          <t>mrakhimova@uad.edu</t>
        </is>
      </c>
      <c r="D13" s="2" t="inlineStr">
        <is>
          <t>Faculty of Economics &amp; Finance</t>
        </is>
      </c>
      <c r="E13" s="2" t="inlineStr">
        <is>
          <t>Bachelor of Finance</t>
        </is>
      </c>
      <c r="F13" s="2" t="inlineStr">
        <is>
          <t>Bachelor</t>
        </is>
      </c>
      <c r="G13" s="2" t="inlineStr">
        <is>
          <t>Spring 2025</t>
        </is>
      </c>
      <c r="H13" s="2" t="inlineStr">
        <is>
          <t>Active</t>
        </is>
      </c>
    </row>
    <row r="14">
      <c r="A14" s="2" t="inlineStr">
        <is>
          <t>m250205</t>
        </is>
      </c>
      <c r="B14" s="2" t="inlineStr">
        <is>
          <t>Otabek Kalandarov</t>
        </is>
      </c>
      <c r="C14" s="2" t="inlineStr">
        <is>
          <t>okalandarov@uad.edu</t>
        </is>
      </c>
      <c r="D14" s="2" t="inlineStr">
        <is>
          <t>Faculty of Computer Science</t>
        </is>
      </c>
      <c r="E14" s="2" t="inlineStr">
        <is>
          <t>Master of Data Science</t>
        </is>
      </c>
      <c r="F14" s="2" t="inlineStr">
        <is>
          <t>Master</t>
        </is>
      </c>
      <c r="G14" s="2" t="inlineStr">
        <is>
          <t>Spring 2025</t>
        </is>
      </c>
      <c r="H14" s="2" t="inlineStr">
        <is>
          <t>Active</t>
        </is>
      </c>
    </row>
    <row r="15">
      <c r="A15" s="2" t="inlineStr">
        <is>
          <t>m250206</t>
        </is>
      </c>
      <c r="B15" s="2" t="inlineStr">
        <is>
          <t>Zarina Ismoilova</t>
        </is>
      </c>
      <c r="C15" s="2" t="inlineStr">
        <is>
          <t>zismoilova@uad.edu</t>
        </is>
      </c>
      <c r="D15" s="2" t="inlineStr">
        <is>
          <t>Faculty of Social Sciences</t>
        </is>
      </c>
      <c r="E15" s="2" t="inlineStr">
        <is>
          <t>Master of International Relations</t>
        </is>
      </c>
      <c r="F15" s="2" t="inlineStr">
        <is>
          <t>Master</t>
        </is>
      </c>
      <c r="G15" s="2" t="inlineStr">
        <is>
          <t>Spring 2025</t>
        </is>
      </c>
      <c r="H15" s="2" t="inlineStr">
        <is>
          <t>Active</t>
        </is>
      </c>
    </row>
    <row r="16">
      <c r="A16" s="2" t="inlineStr">
        <is>
          <t>m250207</t>
        </is>
      </c>
      <c r="B16" s="2" t="inlineStr">
        <is>
          <t>Jamshidbek Mirzayev</t>
        </is>
      </c>
      <c r="C16" s="2" t="inlineStr">
        <is>
          <t>jmirzayev@uad.edu</t>
        </is>
      </c>
      <c r="D16" s="2" t="inlineStr">
        <is>
          <t>Faculty of Engineering</t>
        </is>
      </c>
      <c r="E16" s="2" t="inlineStr">
        <is>
          <t>Bachelor of Civil Engineering</t>
        </is>
      </c>
      <c r="F16" s="2" t="inlineStr">
        <is>
          <t>Bachelor</t>
        </is>
      </c>
      <c r="G16" s="2" t="inlineStr">
        <is>
          <t>Spring 2025</t>
        </is>
      </c>
      <c r="H16" s="2" t="inlineStr">
        <is>
          <t>Active</t>
        </is>
      </c>
    </row>
    <row r="17">
      <c r="A17" s="2" t="inlineStr">
        <is>
          <t>m250208</t>
        </is>
      </c>
      <c r="B17" s="2" t="inlineStr">
        <is>
          <t>Nigina Khasanova</t>
        </is>
      </c>
      <c r="C17" s="2" t="inlineStr">
        <is>
          <t>nkhasanova@uad.edu</t>
        </is>
      </c>
      <c r="D17" s="2" t="inlineStr">
        <is>
          <t>Faculty of Arts &amp; Design</t>
        </is>
      </c>
      <c r="E17" s="2" t="inlineStr">
        <is>
          <t>Bachelor of Graphic Design</t>
        </is>
      </c>
      <c r="F17" s="2" t="inlineStr">
        <is>
          <t>Bachelor</t>
        </is>
      </c>
      <c r="G17" s="2" t="inlineStr">
        <is>
          <t>Spring 2025</t>
        </is>
      </c>
      <c r="H17" s="2" t="inlineStr">
        <is>
          <t>Active</t>
        </is>
      </c>
    </row>
    <row r="18">
      <c r="A18" s="2" t="inlineStr">
        <is>
          <t>m250209</t>
        </is>
      </c>
      <c r="B18" s="2" t="inlineStr">
        <is>
          <t>Bekzod Akhmedov</t>
        </is>
      </c>
      <c r="C18" s="2" t="inlineStr">
        <is>
          <t>bakhmedov@uad.edu</t>
        </is>
      </c>
      <c r="D18" s="2" t="inlineStr">
        <is>
          <t>Faculty of Economics &amp; Finance</t>
        </is>
      </c>
      <c r="E18" s="2" t="inlineStr">
        <is>
          <t>Bachelor of Finance</t>
        </is>
      </c>
      <c r="F18" s="2" t="inlineStr">
        <is>
          <t>Bachelor</t>
        </is>
      </c>
      <c r="G18" s="2" t="inlineStr">
        <is>
          <t>Spring 2025</t>
        </is>
      </c>
      <c r="H18" s="2" t="inlineStr">
        <is>
          <t>Active</t>
        </is>
      </c>
    </row>
    <row r="19">
      <c r="A19" s="2" t="inlineStr">
        <is>
          <t>m250210</t>
        </is>
      </c>
      <c r="B19" s="2" t="inlineStr">
        <is>
          <t>Dilshoda Matyakubova</t>
        </is>
      </c>
      <c r="C19" s="2" t="inlineStr">
        <is>
          <t>dmatyakubova@uad.edu</t>
        </is>
      </c>
      <c r="D19" s="2" t="inlineStr">
        <is>
          <t>Faculty of Social Sciences</t>
        </is>
      </c>
      <c r="E19" s="2" t="inlineStr">
        <is>
          <t>Master of International Relations</t>
        </is>
      </c>
      <c r="F19" s="2" t="inlineStr">
        <is>
          <t>Master</t>
        </is>
      </c>
      <c r="G19" s="2" t="inlineStr">
        <is>
          <t>Spring 2025</t>
        </is>
      </c>
      <c r="H19" s="2" t="inlineStr">
        <is>
          <t>Active</t>
        </is>
      </c>
    </row>
    <row r="20">
      <c r="A20" s="2" t="inlineStr">
        <is>
          <t>m250301</t>
        </is>
      </c>
      <c r="B20" s="2" t="inlineStr">
        <is>
          <t>Javohir Saidov</t>
        </is>
      </c>
      <c r="C20" s="2" t="inlineStr">
        <is>
          <t>jsaidov@uad.edu</t>
        </is>
      </c>
      <c r="D20" s="2" t="inlineStr">
        <is>
          <t>Faculty of Computer Science</t>
        </is>
      </c>
      <c r="E20" s="2" t="inlineStr">
        <is>
          <t>Bachelor of Software Engineering</t>
        </is>
      </c>
      <c r="F20" s="2" t="inlineStr">
        <is>
          <t>Bachelor</t>
        </is>
      </c>
      <c r="G20" s="2" t="inlineStr">
        <is>
          <t>Fall 2025</t>
        </is>
      </c>
      <c r="H20" s="2" t="inlineStr">
        <is>
          <t>Active</t>
        </is>
      </c>
    </row>
    <row r="21">
      <c r="A21" s="2" t="inlineStr">
        <is>
          <t>m250302</t>
        </is>
      </c>
      <c r="B21" s="2" t="inlineStr">
        <is>
          <t>Laylo Mamatova</t>
        </is>
      </c>
      <c r="C21" s="2" t="inlineStr">
        <is>
          <t>lmamatova@uad.edu</t>
        </is>
      </c>
      <c r="D21" s="2" t="inlineStr">
        <is>
          <t>Faculty of Arts &amp; Design</t>
        </is>
      </c>
      <c r="E21" s="2" t="inlineStr">
        <is>
          <t>Bachelor of Graphic Design</t>
        </is>
      </c>
      <c r="F21" s="2" t="inlineStr">
        <is>
          <t>Bachelor</t>
        </is>
      </c>
      <c r="G21" s="2" t="inlineStr">
        <is>
          <t>Fall 2025</t>
        </is>
      </c>
      <c r="H21" s="2" t="inlineStr">
        <is>
          <t>Active</t>
        </is>
      </c>
    </row>
    <row r="22">
      <c r="A22" s="2" t="inlineStr">
        <is>
          <t>m250303</t>
        </is>
      </c>
      <c r="B22" s="2" t="inlineStr">
        <is>
          <t>Sherzod Ibragimov</t>
        </is>
      </c>
      <c r="C22" s="2" t="inlineStr">
        <is>
          <t>sibragimov@uad.edu</t>
        </is>
      </c>
      <c r="D22" s="2" t="inlineStr">
        <is>
          <t>Faculty of Business</t>
        </is>
      </c>
      <c r="E22" s="2" t="inlineStr">
        <is>
          <t>Master of Global Management</t>
        </is>
      </c>
      <c r="F22" s="2" t="inlineStr">
        <is>
          <t>Master</t>
        </is>
      </c>
      <c r="G22" s="2" t="inlineStr">
        <is>
          <t>Fall 2025</t>
        </is>
      </c>
      <c r="H22" s="2" t="inlineStr">
        <is>
          <t>Active</t>
        </is>
      </c>
    </row>
    <row r="23">
      <c r="A23" s="2" t="inlineStr">
        <is>
          <t>m250304</t>
        </is>
      </c>
      <c r="B23" s="2" t="inlineStr">
        <is>
          <t>Gulnora Tojiboeva</t>
        </is>
      </c>
      <c r="C23" s="2" t="inlineStr">
        <is>
          <t>gtojiboeva@uad.edu</t>
        </is>
      </c>
      <c r="D23" s="2" t="inlineStr">
        <is>
          <t>Faculty of Business</t>
        </is>
      </c>
      <c r="E23" s="2" t="inlineStr">
        <is>
          <t>Master of Business Administration</t>
        </is>
      </c>
      <c r="F23" s="2" t="inlineStr">
        <is>
          <t>Master</t>
        </is>
      </c>
      <c r="G23" s="2" t="inlineStr">
        <is>
          <t>Fall 2025</t>
        </is>
      </c>
      <c r="H23" s="2" t="inlineStr">
        <is>
          <t>Active</t>
        </is>
      </c>
    </row>
    <row r="24">
      <c r="A24" s="2" t="inlineStr">
        <is>
          <t>m250305</t>
        </is>
      </c>
      <c r="B24" s="2" t="inlineStr">
        <is>
          <t>Ulugbek Normatov</t>
        </is>
      </c>
      <c r="C24" s="2" t="inlineStr">
        <is>
          <t>unormatov@uad.edu</t>
        </is>
      </c>
      <c r="D24" s="2" t="inlineStr">
        <is>
          <t>Faculty of Computer Science</t>
        </is>
      </c>
      <c r="E24" s="2" t="inlineStr">
        <is>
          <t>Master of Data Science</t>
        </is>
      </c>
      <c r="F24" s="2" t="inlineStr">
        <is>
          <t>Master</t>
        </is>
      </c>
      <c r="G24" s="2" t="inlineStr">
        <is>
          <t>Fall 2025</t>
        </is>
      </c>
      <c r="H24" s="2" t="inlineStr">
        <is>
          <t>Active</t>
        </is>
      </c>
    </row>
    <row r="25">
      <c r="A25" s="2" t="inlineStr">
        <is>
          <t>m250306</t>
        </is>
      </c>
      <c r="B25" s="2" t="inlineStr">
        <is>
          <t>Sevara Qodirova</t>
        </is>
      </c>
      <c r="C25" s="2" t="inlineStr">
        <is>
          <t>sqodirova@uad.edu</t>
        </is>
      </c>
      <c r="D25" s="2" t="inlineStr">
        <is>
          <t>Faculty of Engineering</t>
        </is>
      </c>
      <c r="E25" s="2" t="inlineStr">
        <is>
          <t>Bachelor of Civil Engineering</t>
        </is>
      </c>
      <c r="F25" s="2" t="inlineStr">
        <is>
          <t>Bachelor</t>
        </is>
      </c>
      <c r="G25" s="2" t="inlineStr">
        <is>
          <t>Fall 2025</t>
        </is>
      </c>
      <c r="H25" s="2" t="inlineStr">
        <is>
          <t>Active</t>
        </is>
      </c>
    </row>
  </sheetData>
  <autoFilter ref="A1:H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5" customWidth="1" min="2" max="2"/>
    <col width="12" customWidth="1" min="3" max="3"/>
  </cols>
  <sheetData>
    <row r="1" ht="30" customHeight="1">
      <c r="A1" s="1" t="inlineStr">
        <is>
          <t>Course Code</t>
        </is>
      </c>
      <c r="B1" s="1" t="inlineStr">
        <is>
          <t>Course Title</t>
        </is>
      </c>
      <c r="C1" s="1" t="inlineStr">
        <is>
          <t>ECTS Credits</t>
        </is>
      </c>
    </row>
    <row r="2">
      <c r="A2" s="2" t="inlineStr">
        <is>
          <t>TAM 530</t>
        </is>
      </c>
      <c r="B2" s="2" t="inlineStr">
        <is>
          <t>Data Analytics and Digital Transformation in a Global World</t>
        </is>
      </c>
      <c r="C2" s="2" t="n">
        <v>6</v>
      </c>
    </row>
    <row r="3">
      <c r="A3" s="2" t="inlineStr">
        <is>
          <t>TGM 586</t>
        </is>
      </c>
      <c r="B3" s="2" t="inlineStr">
        <is>
          <t>Global Entrepreneurship and Sustainable Business</t>
        </is>
      </c>
      <c r="C3" s="2" t="n">
        <v>6</v>
      </c>
    </row>
    <row r="4">
      <c r="A4" s="2" t="inlineStr">
        <is>
          <t>TAM 557</t>
        </is>
      </c>
      <c r="B4" s="2" t="inlineStr">
        <is>
          <t>Global Marketing in a Digital Age</t>
        </is>
      </c>
      <c r="C4" s="2" t="n">
        <v>6</v>
      </c>
    </row>
    <row r="5">
      <c r="A5" s="2" t="inlineStr">
        <is>
          <t>TAM 542</t>
        </is>
      </c>
      <c r="B5" s="2" t="inlineStr">
        <is>
          <t>Global Leadership and Personal Development</t>
        </is>
      </c>
      <c r="C5" s="2" t="n">
        <v>6</v>
      </c>
    </row>
    <row r="6">
      <c r="A6" s="2" t="inlineStr">
        <is>
          <t>TAM 511</t>
        </is>
      </c>
      <c r="B6" s="2" t="inlineStr">
        <is>
          <t>Global Accounting: Managing with Numbers</t>
        </is>
      </c>
      <c r="C6" s="2" t="n">
        <v>6</v>
      </c>
    </row>
    <row r="7">
      <c r="A7" s="2" t="inlineStr">
        <is>
          <t>IAL 503</t>
        </is>
      </c>
      <c r="B7" s="2" t="inlineStr">
        <is>
          <t>Applied International Leadership</t>
        </is>
      </c>
      <c r="C7" s="2" t="n">
        <v>6</v>
      </c>
    </row>
    <row r="8">
      <c r="A8" s="2" t="inlineStr">
        <is>
          <t>FIN 560</t>
        </is>
      </c>
      <c r="B8" s="2" t="inlineStr">
        <is>
          <t>International Finance</t>
        </is>
      </c>
      <c r="C8" s="2" t="n">
        <v>6</v>
      </c>
    </row>
    <row r="9">
      <c r="A9" s="2" t="inlineStr">
        <is>
          <t>TGM 551</t>
        </is>
      </c>
      <c r="B9" s="2" t="inlineStr">
        <is>
          <t>Global Marketing Strategy</t>
        </is>
      </c>
      <c r="C9" s="2" t="n">
        <v>6</v>
      </c>
    </row>
    <row r="10">
      <c r="A10" s="2" t="inlineStr">
        <is>
          <t>TAM 505</t>
        </is>
      </c>
      <c r="B10" s="2" t="inlineStr">
        <is>
          <t>Navigating Global and Regional Business Environments</t>
        </is>
      </c>
      <c r="C10" s="2" t="n">
        <v>6</v>
      </c>
    </row>
    <row r="11">
      <c r="A11" s="2" t="inlineStr">
        <is>
          <t>TGM 507</t>
        </is>
      </c>
      <c r="B11" s="2" t="inlineStr">
        <is>
          <t>Global Organizational Consulting</t>
        </is>
      </c>
      <c r="C11" s="2" t="n">
        <v>6</v>
      </c>
    </row>
    <row r="12">
      <c r="A12" s="2" t="inlineStr">
        <is>
          <t>TGM 610</t>
        </is>
      </c>
      <c r="B12" s="2" t="inlineStr">
        <is>
          <t>Cross-Cultural Negotiation</t>
        </is>
      </c>
      <c r="C12" s="2" t="n">
        <v>6</v>
      </c>
    </row>
    <row r="13">
      <c r="A13" s="2" t="inlineStr">
        <is>
          <t>TGM 622</t>
        </is>
      </c>
      <c r="B13" s="2" t="inlineStr">
        <is>
          <t>Global Supply Chain Management</t>
        </is>
      </c>
      <c r="C13" s="2" t="n">
        <v>6</v>
      </c>
    </row>
    <row r="14">
      <c r="A14" s="2" t="inlineStr">
        <is>
          <t>TAM 615</t>
        </is>
      </c>
      <c r="B14" s="2" t="inlineStr">
        <is>
          <t>Strategic Management in Emerging Markets</t>
        </is>
      </c>
      <c r="C14" s="2" t="n">
        <v>6</v>
      </c>
    </row>
    <row r="15">
      <c r="A15" s="2" t="inlineStr">
        <is>
          <t>TGM 630</t>
        </is>
      </c>
      <c r="B15" s="2" t="inlineStr">
        <is>
          <t>Corporate Governance and Ethics</t>
        </is>
      </c>
      <c r="C15" s="2" t="n">
        <v>6</v>
      </c>
    </row>
    <row r="16">
      <c r="A16" s="2" t="inlineStr">
        <is>
          <t>TGM 690</t>
        </is>
      </c>
      <c r="B16" s="2" t="inlineStr">
        <is>
          <t>Capstone: Global Management Project</t>
        </is>
      </c>
      <c r="C16" s="2" t="n">
        <v>6</v>
      </c>
    </row>
    <row r="17">
      <c r="A17" s="2" t="inlineStr">
        <is>
          <t>TGM 640</t>
        </is>
      </c>
      <c r="B17" s="2" t="inlineStr">
        <is>
          <t>Global Risk Management</t>
        </is>
      </c>
      <c r="C17" s="2" t="n">
        <v>6</v>
      </c>
    </row>
    <row r="18">
      <c r="A18" s="2" t="inlineStr">
        <is>
          <t>TGM 650</t>
        </is>
      </c>
      <c r="B18" s="2" t="inlineStr">
        <is>
          <t>Digital Business Models</t>
        </is>
      </c>
      <c r="C18" s="2" t="n">
        <v>6</v>
      </c>
    </row>
    <row r="19">
      <c r="A19" s="2" t="inlineStr">
        <is>
          <t>TGM 660</t>
        </is>
      </c>
      <c r="B19" s="2" t="inlineStr">
        <is>
          <t>International Human Resource Management</t>
        </is>
      </c>
      <c r="C19" s="2" t="n">
        <v>6</v>
      </c>
    </row>
    <row r="20">
      <c r="A20" s="2" t="inlineStr">
        <is>
          <t>TGM 670</t>
        </is>
      </c>
      <c r="B20" s="2" t="inlineStr">
        <is>
          <t>Innovation Management</t>
        </is>
      </c>
      <c r="C20" s="2" t="n">
        <v>6</v>
      </c>
    </row>
    <row r="21">
      <c r="A21" s="2" t="inlineStr">
        <is>
          <t>TGM 699</t>
        </is>
      </c>
      <c r="B21" s="2" t="inlineStr">
        <is>
          <t>Master's Thesis</t>
        </is>
      </c>
      <c r="C21" s="2" t="n">
        <v>6</v>
      </c>
    </row>
    <row r="22">
      <c r="A22" s="2" t="inlineStr">
        <is>
          <t>MBA 501</t>
        </is>
      </c>
      <c r="B22" s="2" t="inlineStr">
        <is>
          <t>Managerial Economics</t>
        </is>
      </c>
      <c r="C22" s="2" t="n">
        <v>6</v>
      </c>
    </row>
    <row r="23">
      <c r="A23" s="2" t="inlineStr">
        <is>
          <t>MBA 510</t>
        </is>
      </c>
      <c r="B23" s="2" t="inlineStr">
        <is>
          <t>Financial Reporting and Analysis</t>
        </is>
      </c>
      <c r="C23" s="2" t="n">
        <v>6</v>
      </c>
    </row>
    <row r="24">
      <c r="A24" s="2" t="inlineStr">
        <is>
          <t>MBA 520</t>
        </is>
      </c>
      <c r="B24" s="2" t="inlineStr">
        <is>
          <t>Organizational Behavior</t>
        </is>
      </c>
      <c r="C24" s="2" t="n">
        <v>6</v>
      </c>
    </row>
    <row r="25">
      <c r="A25" s="2" t="inlineStr">
        <is>
          <t>MBA 530</t>
        </is>
      </c>
      <c r="B25" s="2" t="inlineStr">
        <is>
          <t>Marketing Management</t>
        </is>
      </c>
      <c r="C25" s="2" t="n">
        <v>6</v>
      </c>
    </row>
    <row r="26">
      <c r="A26" s="2" t="inlineStr">
        <is>
          <t>MBA 540</t>
        </is>
      </c>
      <c r="B26" s="2" t="inlineStr">
        <is>
          <t>Business Analytics</t>
        </is>
      </c>
      <c r="C26" s="2" t="n">
        <v>6</v>
      </c>
    </row>
    <row r="27">
      <c r="A27" s="2" t="inlineStr">
        <is>
          <t>MBA 550</t>
        </is>
      </c>
      <c r="B27" s="2" t="inlineStr">
        <is>
          <t>Corporate Finance</t>
        </is>
      </c>
      <c r="C27" s="2" t="n">
        <v>6</v>
      </c>
    </row>
    <row r="28">
      <c r="A28" s="2" t="inlineStr">
        <is>
          <t>MBA 560</t>
        </is>
      </c>
      <c r="B28" s="2" t="inlineStr">
        <is>
          <t>Operations Management</t>
        </is>
      </c>
      <c r="C28" s="2" t="n">
        <v>6</v>
      </c>
    </row>
    <row r="29">
      <c r="A29" s="2" t="inlineStr">
        <is>
          <t>MBA 570</t>
        </is>
      </c>
      <c r="B29" s="2" t="inlineStr">
        <is>
          <t>Strategic Human Resource Management</t>
        </is>
      </c>
      <c r="C29" s="2" t="n">
        <v>6</v>
      </c>
    </row>
    <row r="30">
      <c r="A30" s="2" t="inlineStr">
        <is>
          <t>MBA 580</t>
        </is>
      </c>
      <c r="B30" s="2" t="inlineStr">
        <is>
          <t>Business Ethics</t>
        </is>
      </c>
      <c r="C30" s="2" t="n">
        <v>6</v>
      </c>
    </row>
    <row r="31">
      <c r="A31" s="2" t="inlineStr">
        <is>
          <t>MBA 590</t>
        </is>
      </c>
      <c r="B31" s="2" t="inlineStr">
        <is>
          <t>Leadership and Change</t>
        </is>
      </c>
      <c r="C31" s="2" t="n">
        <v>6</v>
      </c>
    </row>
    <row r="32">
      <c r="A32" s="2" t="inlineStr">
        <is>
          <t>MBA 610</t>
        </is>
      </c>
      <c r="B32" s="2" t="inlineStr">
        <is>
          <t>Competitive Strategy</t>
        </is>
      </c>
      <c r="C32" s="2" t="n">
        <v>6</v>
      </c>
    </row>
    <row r="33">
      <c r="A33" s="2" t="inlineStr">
        <is>
          <t>MBA 620</t>
        </is>
      </c>
      <c r="B33" s="2" t="inlineStr">
        <is>
          <t>Entrepreneurship and Innovation</t>
        </is>
      </c>
      <c r="C33" s="2" t="n">
        <v>6</v>
      </c>
    </row>
    <row r="34">
      <c r="A34" s="2" t="inlineStr">
        <is>
          <t>MBA 630</t>
        </is>
      </c>
      <c r="B34" s="2" t="inlineStr">
        <is>
          <t>International Business</t>
        </is>
      </c>
      <c r="C34" s="2" t="n">
        <v>6</v>
      </c>
    </row>
    <row r="35">
      <c r="A35" s="2" t="inlineStr">
        <is>
          <t>MBA 640</t>
        </is>
      </c>
      <c r="B35" s="2" t="inlineStr">
        <is>
          <t>Negotiation</t>
        </is>
      </c>
      <c r="C35" s="2" t="n">
        <v>6</v>
      </c>
    </row>
    <row r="36">
      <c r="A36" s="2" t="inlineStr">
        <is>
          <t>MBA 690</t>
        </is>
      </c>
      <c r="B36" s="2" t="inlineStr">
        <is>
          <t>MBA Capstone Consulting Project</t>
        </is>
      </c>
      <c r="C36" s="2" t="n">
        <v>6</v>
      </c>
    </row>
    <row r="37">
      <c r="A37" s="2" t="inlineStr">
        <is>
          <t>MBA 650</t>
        </is>
      </c>
      <c r="B37" s="2" t="inlineStr">
        <is>
          <t>Mergers and Acquisitions</t>
        </is>
      </c>
      <c r="C37" s="2" t="n">
        <v>6</v>
      </c>
    </row>
    <row r="38">
      <c r="A38" s="2" t="inlineStr">
        <is>
          <t>MBA 660</t>
        </is>
      </c>
      <c r="B38" s="2" t="inlineStr">
        <is>
          <t>Digital Marketing Strategy</t>
        </is>
      </c>
      <c r="C38" s="2" t="n">
        <v>6</v>
      </c>
    </row>
    <row r="39">
      <c r="A39" s="2" t="inlineStr">
        <is>
          <t>MBA 670</t>
        </is>
      </c>
      <c r="B39" s="2" t="inlineStr">
        <is>
          <t>Project Management</t>
        </is>
      </c>
      <c r="C39" s="2" t="n">
        <v>6</v>
      </c>
    </row>
    <row r="40">
      <c r="A40" s="2" t="inlineStr">
        <is>
          <t>MBA 680</t>
        </is>
      </c>
      <c r="B40" s="2" t="inlineStr">
        <is>
          <t>Corporate Social Responsibility</t>
        </is>
      </c>
      <c r="C40" s="2" t="n">
        <v>6</v>
      </c>
    </row>
    <row r="41">
      <c r="A41" s="2" t="inlineStr">
        <is>
          <t>MBA 699</t>
        </is>
      </c>
      <c r="B41" s="2" t="inlineStr">
        <is>
          <t>MBA Final Project</t>
        </is>
      </c>
      <c r="C41" s="2" t="n">
        <v>6</v>
      </c>
    </row>
    <row r="42">
      <c r="A42" s="2" t="inlineStr">
        <is>
          <t>CSE 101</t>
        </is>
      </c>
      <c r="B42" s="2" t="inlineStr">
        <is>
          <t>Introduction to Programming</t>
        </is>
      </c>
      <c r="C42" s="2" t="n">
        <v>6</v>
      </c>
    </row>
    <row r="43">
      <c r="A43" s="2" t="inlineStr">
        <is>
          <t>MTH 110</t>
        </is>
      </c>
      <c r="B43" s="2" t="inlineStr">
        <is>
          <t>Discrete Mathematics</t>
        </is>
      </c>
      <c r="C43" s="2" t="n">
        <v>6</v>
      </c>
    </row>
    <row r="44">
      <c r="A44" s="2" t="inlineStr">
        <is>
          <t>CSE 120</t>
        </is>
      </c>
      <c r="B44" s="2" t="inlineStr">
        <is>
          <t>Computer Systems Fundamentals</t>
        </is>
      </c>
      <c r="C44" s="2" t="n">
        <v>6</v>
      </c>
    </row>
    <row r="45">
      <c r="A45" s="2" t="inlineStr">
        <is>
          <t>ENG 101</t>
        </is>
      </c>
      <c r="B45" s="2" t="inlineStr">
        <is>
          <t>Academic English I</t>
        </is>
      </c>
      <c r="C45" s="2" t="n">
        <v>6</v>
      </c>
    </row>
    <row r="46">
      <c r="A46" s="2" t="inlineStr">
        <is>
          <t>MTH 120</t>
        </is>
      </c>
      <c r="B46" s="2" t="inlineStr">
        <is>
          <t>Calculus I</t>
        </is>
      </c>
      <c r="C46" s="2" t="n">
        <v>6</v>
      </c>
    </row>
    <row r="47">
      <c r="A47" s="2" t="inlineStr">
        <is>
          <t>CSE 150</t>
        </is>
      </c>
      <c r="B47" s="2" t="inlineStr">
        <is>
          <t>Object-Oriented Programming</t>
        </is>
      </c>
      <c r="C47" s="2" t="n">
        <v>6</v>
      </c>
    </row>
    <row r="48">
      <c r="A48" s="2" t="inlineStr">
        <is>
          <t>CSE 160</t>
        </is>
      </c>
      <c r="B48" s="2" t="inlineStr">
        <is>
          <t>Data Structures</t>
        </is>
      </c>
      <c r="C48" s="2" t="n">
        <v>6</v>
      </c>
    </row>
    <row r="49">
      <c r="A49" s="2" t="inlineStr">
        <is>
          <t>CSE 170</t>
        </is>
      </c>
      <c r="B49" s="2" t="inlineStr">
        <is>
          <t>Web Development Basics</t>
        </is>
      </c>
      <c r="C49" s="2" t="n">
        <v>6</v>
      </c>
    </row>
    <row r="50">
      <c r="A50" s="2" t="inlineStr">
        <is>
          <t>ENG 102</t>
        </is>
      </c>
      <c r="B50" s="2" t="inlineStr">
        <is>
          <t>Academic English II</t>
        </is>
      </c>
      <c r="C50" s="2" t="n">
        <v>6</v>
      </c>
    </row>
    <row r="51">
      <c r="A51" s="2" t="inlineStr">
        <is>
          <t>MTH 130</t>
        </is>
      </c>
      <c r="B51" s="2" t="inlineStr">
        <is>
          <t>Linear Algebra</t>
        </is>
      </c>
      <c r="C51" s="2" t="n">
        <v>6</v>
      </c>
    </row>
    <row r="52">
      <c r="A52" s="2" t="inlineStr">
        <is>
          <t>CSE 210</t>
        </is>
      </c>
      <c r="B52" s="2" t="inlineStr">
        <is>
          <t>Algorithms</t>
        </is>
      </c>
      <c r="C52" s="2" t="n">
        <v>6</v>
      </c>
    </row>
    <row r="53">
      <c r="A53" s="2" t="inlineStr">
        <is>
          <t>CSE 220</t>
        </is>
      </c>
      <c r="B53" s="2" t="inlineStr">
        <is>
          <t>Databases</t>
        </is>
      </c>
      <c r="C53" s="2" t="n">
        <v>6</v>
      </c>
    </row>
    <row r="54">
      <c r="A54" s="2" t="inlineStr">
        <is>
          <t>CSE 230</t>
        </is>
      </c>
      <c r="B54" s="2" t="inlineStr">
        <is>
          <t>Software Requirements Engineering</t>
        </is>
      </c>
      <c r="C54" s="2" t="n">
        <v>6</v>
      </c>
    </row>
    <row r="55">
      <c r="A55" s="2" t="inlineStr">
        <is>
          <t>CSE 240</t>
        </is>
      </c>
      <c r="B55" s="2" t="inlineStr">
        <is>
          <t>Operating Systems</t>
        </is>
      </c>
      <c r="C55" s="2" t="n">
        <v>6</v>
      </c>
    </row>
    <row r="56">
      <c r="A56" s="2" t="inlineStr">
        <is>
          <t>STA 201</t>
        </is>
      </c>
      <c r="B56" s="2" t="inlineStr">
        <is>
          <t>Probability and Statistics</t>
        </is>
      </c>
      <c r="C56" s="2" t="n">
        <v>6</v>
      </c>
    </row>
    <row r="57">
      <c r="A57" s="2" t="inlineStr">
        <is>
          <t>CSE 250</t>
        </is>
      </c>
      <c r="B57" s="2" t="inlineStr">
        <is>
          <t>Software Architecture</t>
        </is>
      </c>
      <c r="C57" s="2" t="n">
        <v>6</v>
      </c>
    </row>
    <row r="58">
      <c r="A58" s="2" t="inlineStr">
        <is>
          <t>CSE 260</t>
        </is>
      </c>
      <c r="B58" s="2" t="inlineStr">
        <is>
          <t>Computer Networks</t>
        </is>
      </c>
      <c r="C58" s="2" t="n">
        <v>6</v>
      </c>
    </row>
    <row r="59">
      <c r="A59" s="2" t="inlineStr">
        <is>
          <t>CSE 270</t>
        </is>
      </c>
      <c r="B59" s="2" t="inlineStr">
        <is>
          <t>Mobile Application Development</t>
        </is>
      </c>
      <c r="C59" s="2" t="n">
        <v>6</v>
      </c>
    </row>
    <row r="60">
      <c r="A60" s="2" t="inlineStr">
        <is>
          <t>CSE 280</t>
        </is>
      </c>
      <c r="B60" s="2" t="inlineStr">
        <is>
          <t>Software Testing</t>
        </is>
      </c>
      <c r="C60" s="2" t="n">
        <v>6</v>
      </c>
    </row>
    <row r="61">
      <c r="A61" s="2" t="inlineStr">
        <is>
          <t>CSE 290</t>
        </is>
      </c>
      <c r="B61" s="2" t="inlineStr">
        <is>
          <t>Team Software Project</t>
        </is>
      </c>
      <c r="C61" s="2" t="n">
        <v>6</v>
      </c>
    </row>
    <row r="62">
      <c r="A62" s="2" t="inlineStr">
        <is>
          <t>DSC 501</t>
        </is>
      </c>
      <c r="B62" s="2" t="inlineStr">
        <is>
          <t>Foundations of Data Science</t>
        </is>
      </c>
      <c r="C62" s="2" t="n">
        <v>6</v>
      </c>
    </row>
    <row r="63">
      <c r="A63" s="2" t="inlineStr">
        <is>
          <t>DSC 510</t>
        </is>
      </c>
      <c r="B63" s="2" t="inlineStr">
        <is>
          <t>Statistical Inference</t>
        </is>
      </c>
      <c r="C63" s="2" t="n">
        <v>6</v>
      </c>
    </row>
    <row r="64">
      <c r="A64" s="2" t="inlineStr">
        <is>
          <t>DSC 520</t>
        </is>
      </c>
      <c r="B64" s="2" t="inlineStr">
        <is>
          <t>Programming for Data Science (Python)</t>
        </is>
      </c>
      <c r="C64" s="2" t="n">
        <v>6</v>
      </c>
    </row>
    <row r="65">
      <c r="A65" s="2" t="inlineStr">
        <is>
          <t>DSC 530</t>
        </is>
      </c>
      <c r="B65" s="2" t="inlineStr">
        <is>
          <t>Data Management and SQL</t>
        </is>
      </c>
      <c r="C65" s="2" t="n">
        <v>6</v>
      </c>
    </row>
    <row r="66">
      <c r="A66" s="2" t="inlineStr">
        <is>
          <t>DSC 540</t>
        </is>
      </c>
      <c r="B66" s="2" t="inlineStr">
        <is>
          <t>Linear Algebra for Machine Learning</t>
        </is>
      </c>
      <c r="C66" s="2" t="n">
        <v>6</v>
      </c>
    </row>
    <row r="67">
      <c r="A67" s="2" t="inlineStr">
        <is>
          <t>DSC 550</t>
        </is>
      </c>
      <c r="B67" s="2" t="inlineStr">
        <is>
          <t>Machine Learning</t>
        </is>
      </c>
      <c r="C67" s="2" t="n">
        <v>6</v>
      </c>
    </row>
    <row r="68">
      <c r="A68" s="2" t="inlineStr">
        <is>
          <t>DSC 560</t>
        </is>
      </c>
      <c r="B68" s="2" t="inlineStr">
        <is>
          <t>Data Visualization</t>
        </is>
      </c>
      <c r="C68" s="2" t="n">
        <v>6</v>
      </c>
    </row>
    <row r="69">
      <c r="A69" s="2" t="inlineStr">
        <is>
          <t>DSC 570</t>
        </is>
      </c>
      <c r="B69" s="2" t="inlineStr">
        <is>
          <t>Big Data Platforms</t>
        </is>
      </c>
      <c r="C69" s="2" t="n">
        <v>6</v>
      </c>
    </row>
    <row r="70">
      <c r="A70" s="2" t="inlineStr">
        <is>
          <t>DSC 580</t>
        </is>
      </c>
      <c r="B70" s="2" t="inlineStr">
        <is>
          <t>Optimization Methods</t>
        </is>
      </c>
      <c r="C70" s="2" t="n">
        <v>6</v>
      </c>
    </row>
    <row r="71">
      <c r="A71" s="2" t="inlineStr">
        <is>
          <t>DSC 590</t>
        </is>
      </c>
      <c r="B71" s="2" t="inlineStr">
        <is>
          <t>Research Methods</t>
        </is>
      </c>
      <c r="C71" s="2" t="n">
        <v>6</v>
      </c>
    </row>
    <row r="72">
      <c r="A72" s="2" t="inlineStr">
        <is>
          <t>DSC 610</t>
        </is>
      </c>
      <c r="B72" s="2" t="inlineStr">
        <is>
          <t>Deep Learning</t>
        </is>
      </c>
      <c r="C72" s="2" t="n">
        <v>6</v>
      </c>
    </row>
    <row r="73">
      <c r="A73" s="2" t="inlineStr">
        <is>
          <t>DSC 620</t>
        </is>
      </c>
      <c r="B73" s="2" t="inlineStr">
        <is>
          <t>Natural Language Processing</t>
        </is>
      </c>
      <c r="C73" s="2" t="n">
        <v>6</v>
      </c>
    </row>
    <row r="74">
      <c r="A74" s="2" t="inlineStr">
        <is>
          <t>DSC 630</t>
        </is>
      </c>
      <c r="B74" s="2" t="inlineStr">
        <is>
          <t>Time Series Analysis</t>
        </is>
      </c>
      <c r="C74" s="2" t="n">
        <v>6</v>
      </c>
    </row>
    <row r="75">
      <c r="A75" s="2" t="inlineStr">
        <is>
          <t>DSC 640</t>
        </is>
      </c>
      <c r="B75" s="2" t="inlineStr">
        <is>
          <t>Data Ethics and Privacy</t>
        </is>
      </c>
      <c r="C75" s="2" t="n">
        <v>6</v>
      </c>
    </row>
    <row r="76">
      <c r="A76" s="2" t="inlineStr">
        <is>
          <t>DSC 690</t>
        </is>
      </c>
      <c r="B76" s="2" t="inlineStr">
        <is>
          <t>Capstone Project in Data Science</t>
        </is>
      </c>
      <c r="C76" s="2" t="n">
        <v>6</v>
      </c>
    </row>
    <row r="77">
      <c r="A77" s="2" t="inlineStr">
        <is>
          <t>DSC 650</t>
        </is>
      </c>
      <c r="B77" s="2" t="inlineStr">
        <is>
          <t>Reinforcement Learning</t>
        </is>
      </c>
      <c r="C77" s="2" t="n">
        <v>6</v>
      </c>
    </row>
    <row r="78">
      <c r="A78" s="2" t="inlineStr">
        <is>
          <t>DSC 660</t>
        </is>
      </c>
      <c r="B78" s="2" t="inlineStr">
        <is>
          <t>Computer Vision</t>
        </is>
      </c>
      <c r="C78" s="2" t="n">
        <v>6</v>
      </c>
    </row>
    <row r="79">
      <c r="A79" s="2" t="inlineStr">
        <is>
          <t>DSC 670</t>
        </is>
      </c>
      <c r="B79" s="2" t="inlineStr">
        <is>
          <t>Causal Inference</t>
        </is>
      </c>
      <c r="C79" s="2" t="n">
        <v>6</v>
      </c>
    </row>
    <row r="80">
      <c r="A80" s="2" t="inlineStr">
        <is>
          <t>DSC 680</t>
        </is>
      </c>
      <c r="B80" s="2" t="inlineStr">
        <is>
          <t>MLOps and Model Deployment</t>
        </is>
      </c>
      <c r="C80" s="2" t="n">
        <v>6</v>
      </c>
    </row>
    <row r="81">
      <c r="A81" s="2" t="inlineStr">
        <is>
          <t>DSC 699</t>
        </is>
      </c>
      <c r="B81" s="2" t="inlineStr">
        <is>
          <t>Master's Thesis</t>
        </is>
      </c>
      <c r="C81" s="2" t="n">
        <v>6</v>
      </c>
    </row>
    <row r="82">
      <c r="A82" s="2" t="inlineStr">
        <is>
          <t>ECO 101</t>
        </is>
      </c>
      <c r="B82" s="2" t="inlineStr">
        <is>
          <t>Principles of Microeconomics</t>
        </is>
      </c>
      <c r="C82" s="2" t="n">
        <v>6</v>
      </c>
    </row>
    <row r="83">
      <c r="A83" s="2" t="inlineStr">
        <is>
          <t>ACC 101</t>
        </is>
      </c>
      <c r="B83" s="2" t="inlineStr">
        <is>
          <t>Financial Accounting</t>
        </is>
      </c>
      <c r="C83" s="2" t="n">
        <v>6</v>
      </c>
    </row>
    <row r="84">
      <c r="A84" s="2" t="inlineStr">
        <is>
          <t>MTH 105</t>
        </is>
      </c>
      <c r="B84" s="2" t="inlineStr">
        <is>
          <t>Business Mathematics</t>
        </is>
      </c>
      <c r="C84" s="2" t="n">
        <v>6</v>
      </c>
    </row>
    <row r="85">
      <c r="A85" s="2" t="inlineStr">
        <is>
          <t>FIN 100</t>
        </is>
      </c>
      <c r="B85" s="2" t="inlineStr">
        <is>
          <t>Introduction to Finance</t>
        </is>
      </c>
      <c r="C85" s="2" t="n">
        <v>6</v>
      </c>
    </row>
    <row r="86">
      <c r="A86" s="2" t="inlineStr">
        <is>
          <t>ECO 102</t>
        </is>
      </c>
      <c r="B86" s="2" t="inlineStr">
        <is>
          <t>Principles of Macroeconomics</t>
        </is>
      </c>
      <c r="C86" s="2" t="n">
        <v>6</v>
      </c>
    </row>
    <row r="87">
      <c r="A87" s="2" t="inlineStr">
        <is>
          <t>ACC 102</t>
        </is>
      </c>
      <c r="B87" s="2" t="inlineStr">
        <is>
          <t>Managerial Accounting</t>
        </is>
      </c>
      <c r="C87" s="2" t="n">
        <v>6</v>
      </c>
    </row>
    <row r="88">
      <c r="A88" s="2" t="inlineStr">
        <is>
          <t>STA 110</t>
        </is>
      </c>
      <c r="B88" s="2" t="inlineStr">
        <is>
          <t>Business Statistics</t>
        </is>
      </c>
      <c r="C88" s="2" t="n">
        <v>6</v>
      </c>
    </row>
    <row r="89">
      <c r="A89" s="2" t="inlineStr">
        <is>
          <t>FIN 150</t>
        </is>
      </c>
      <c r="B89" s="2" t="inlineStr">
        <is>
          <t>Financial Markets and Institutions</t>
        </is>
      </c>
      <c r="C89" s="2" t="n">
        <v>6</v>
      </c>
    </row>
    <row r="90">
      <c r="A90" s="2" t="inlineStr">
        <is>
          <t>FIN 210</t>
        </is>
      </c>
      <c r="B90" s="2" t="inlineStr">
        <is>
          <t>Corporate Finance</t>
        </is>
      </c>
      <c r="C90" s="2" t="n">
        <v>6</v>
      </c>
    </row>
    <row r="91">
      <c r="A91" s="2" t="inlineStr">
        <is>
          <t>FIN 220</t>
        </is>
      </c>
      <c r="B91" s="2" t="inlineStr">
        <is>
          <t>Investments</t>
        </is>
      </c>
      <c r="C91" s="2" t="n">
        <v>6</v>
      </c>
    </row>
    <row r="92">
      <c r="A92" s="2" t="inlineStr">
        <is>
          <t>FIN 230</t>
        </is>
      </c>
      <c r="B92" s="2" t="inlineStr">
        <is>
          <t>Banking Operations</t>
        </is>
      </c>
      <c r="C92" s="2" t="n">
        <v>6</v>
      </c>
    </row>
    <row r="93">
      <c r="A93" s="2" t="inlineStr">
        <is>
          <t>ECO 210</t>
        </is>
      </c>
      <c r="B93" s="2" t="inlineStr">
        <is>
          <t>Econometrics I</t>
        </is>
      </c>
      <c r="C93" s="2" t="n">
        <v>6</v>
      </c>
    </row>
    <row r="94">
      <c r="A94" s="2" t="inlineStr">
        <is>
          <t>LAW 201</t>
        </is>
      </c>
      <c r="B94" s="2" t="inlineStr">
        <is>
          <t>Business Law</t>
        </is>
      </c>
      <c r="C94" s="2" t="n">
        <v>6</v>
      </c>
    </row>
    <row r="95">
      <c r="A95" s="2" t="inlineStr">
        <is>
          <t>FIN 240</t>
        </is>
      </c>
      <c r="B95" s="2" t="inlineStr">
        <is>
          <t>Financial Modelling</t>
        </is>
      </c>
      <c r="C95" s="2" t="n">
        <v>6</v>
      </c>
    </row>
    <row r="96">
      <c r="A96" s="2" t="inlineStr">
        <is>
          <t>FIN 250</t>
        </is>
      </c>
      <c r="B96" s="2" t="inlineStr">
        <is>
          <t>Risk Management</t>
        </is>
      </c>
      <c r="C96" s="2" t="n">
        <v>6</v>
      </c>
    </row>
    <row r="97">
      <c r="A97" s="2" t="inlineStr">
        <is>
          <t>FIN 260</t>
        </is>
      </c>
      <c r="B97" s="2" t="inlineStr">
        <is>
          <t>International Finance</t>
        </is>
      </c>
      <c r="C97" s="2" t="n">
        <v>6</v>
      </c>
    </row>
    <row r="98">
      <c r="A98" s="2" t="inlineStr">
        <is>
          <t>ECO 220</t>
        </is>
      </c>
      <c r="B98" s="2" t="inlineStr">
        <is>
          <t>Money and Banking</t>
        </is>
      </c>
      <c r="C98" s="2" t="n">
        <v>6</v>
      </c>
    </row>
    <row r="99">
      <c r="A99" s="2" t="inlineStr">
        <is>
          <t>ACC 210</t>
        </is>
      </c>
      <c r="B99" s="2" t="inlineStr">
        <is>
          <t>Intermediate Accounting</t>
        </is>
      </c>
      <c r="C99" s="2" t="n">
        <v>6</v>
      </c>
    </row>
    <row r="100">
      <c r="A100" s="2" t="inlineStr">
        <is>
          <t>IRL 501</t>
        </is>
      </c>
      <c r="B100" s="2" t="inlineStr">
        <is>
          <t>Theories of International Relations</t>
        </is>
      </c>
      <c r="C100" s="2" t="n">
        <v>6</v>
      </c>
    </row>
    <row r="101">
      <c r="A101" s="2" t="inlineStr">
        <is>
          <t>IRL 510</t>
        </is>
      </c>
      <c r="B101" s="2" t="inlineStr">
        <is>
          <t>Global Political Economy</t>
        </is>
      </c>
      <c r="C101" s="2" t="n">
        <v>6</v>
      </c>
    </row>
    <row r="102">
      <c r="A102" s="2" t="inlineStr">
        <is>
          <t>IRL 520</t>
        </is>
      </c>
      <c r="B102" s="2" t="inlineStr">
        <is>
          <t>International Law</t>
        </is>
      </c>
      <c r="C102" s="2" t="n">
        <v>6</v>
      </c>
    </row>
    <row r="103">
      <c r="A103" s="2" t="inlineStr">
        <is>
          <t>IRL 530</t>
        </is>
      </c>
      <c r="B103" s="2" t="inlineStr">
        <is>
          <t>Research Design</t>
        </is>
      </c>
      <c r="C103" s="2" t="n">
        <v>6</v>
      </c>
    </row>
    <row r="104">
      <c r="A104" s="2" t="inlineStr">
        <is>
          <t>IRL 540</t>
        </is>
      </c>
      <c r="B104" s="2" t="inlineStr">
        <is>
          <t>Diplomacy and Statecraft</t>
        </is>
      </c>
      <c r="C104" s="2" t="n">
        <v>6</v>
      </c>
    </row>
    <row r="105">
      <c r="A105" s="2" t="inlineStr">
        <is>
          <t>IRL 550</t>
        </is>
      </c>
      <c r="B105" s="2" t="inlineStr">
        <is>
          <t>Security Studies</t>
        </is>
      </c>
      <c r="C105" s="2" t="n">
        <v>6</v>
      </c>
    </row>
    <row r="106">
      <c r="A106" s="2" t="inlineStr">
        <is>
          <t>IRL 560</t>
        </is>
      </c>
      <c r="B106" s="2" t="inlineStr">
        <is>
          <t>Central Asia in World Politics</t>
        </is>
      </c>
      <c r="C106" s="2" t="n">
        <v>6</v>
      </c>
    </row>
    <row r="107">
      <c r="A107" s="2" t="inlineStr">
        <is>
          <t>IRL 570</t>
        </is>
      </c>
      <c r="B107" s="2" t="inlineStr">
        <is>
          <t>International Organizations</t>
        </is>
      </c>
      <c r="C107" s="2" t="n">
        <v>6</v>
      </c>
    </row>
    <row r="108">
      <c r="A108" s="2" t="inlineStr">
        <is>
          <t>IRL 580</t>
        </is>
      </c>
      <c r="B108" s="2" t="inlineStr">
        <is>
          <t>Foreign Policy Analysis</t>
        </is>
      </c>
      <c r="C108" s="2" t="n">
        <v>6</v>
      </c>
    </row>
    <row r="109">
      <c r="A109" s="2" t="inlineStr">
        <is>
          <t>IRL 590</t>
        </is>
      </c>
      <c r="B109" s="2" t="inlineStr">
        <is>
          <t>Quantitative Methods</t>
        </is>
      </c>
      <c r="C109" s="2" t="n">
        <v>6</v>
      </c>
    </row>
    <row r="110">
      <c r="A110" s="2" t="inlineStr">
        <is>
          <t>IRL 610</t>
        </is>
      </c>
      <c r="B110" s="2" t="inlineStr">
        <is>
          <t>Conflict Resolution</t>
        </is>
      </c>
      <c r="C110" s="2" t="n">
        <v>6</v>
      </c>
    </row>
    <row r="111">
      <c r="A111" s="2" t="inlineStr">
        <is>
          <t>IRL 620</t>
        </is>
      </c>
      <c r="B111" s="2" t="inlineStr">
        <is>
          <t>Energy Geopolitics</t>
        </is>
      </c>
      <c r="C111" s="2" t="n">
        <v>6</v>
      </c>
    </row>
    <row r="112">
      <c r="A112" s="2" t="inlineStr">
        <is>
          <t>IRL 630</t>
        </is>
      </c>
      <c r="B112" s="2" t="inlineStr">
        <is>
          <t>Human Rights and Global Governance</t>
        </is>
      </c>
      <c r="C112" s="2" t="n">
        <v>6</v>
      </c>
    </row>
    <row r="113">
      <c r="A113" s="2" t="inlineStr">
        <is>
          <t>IRL 640</t>
        </is>
      </c>
      <c r="B113" s="2" t="inlineStr">
        <is>
          <t>Regional Integration</t>
        </is>
      </c>
      <c r="C113" s="2" t="n">
        <v>6</v>
      </c>
    </row>
    <row r="114">
      <c r="A114" s="2" t="inlineStr">
        <is>
          <t>IRL 690</t>
        </is>
      </c>
      <c r="B114" s="2" t="inlineStr">
        <is>
          <t>Master's Thesis Seminar</t>
        </is>
      </c>
      <c r="C114" s="2" t="n">
        <v>6</v>
      </c>
    </row>
    <row r="115">
      <c r="A115" s="2" t="inlineStr">
        <is>
          <t>IRL 650</t>
        </is>
      </c>
      <c r="B115" s="2" t="inlineStr">
        <is>
          <t>Public Diplomacy</t>
        </is>
      </c>
      <c r="C115" s="2" t="n">
        <v>6</v>
      </c>
    </row>
    <row r="116">
      <c r="A116" s="2" t="inlineStr">
        <is>
          <t>IRL 660</t>
        </is>
      </c>
      <c r="B116" s="2" t="inlineStr">
        <is>
          <t>Migration and Global Mobility</t>
        </is>
      </c>
      <c r="C116" s="2" t="n">
        <v>6</v>
      </c>
    </row>
    <row r="117">
      <c r="A117" s="2" t="inlineStr">
        <is>
          <t>IRL 670</t>
        </is>
      </c>
      <c r="B117" s="2" t="inlineStr">
        <is>
          <t>Environmental Politics</t>
        </is>
      </c>
      <c r="C117" s="2" t="n">
        <v>6</v>
      </c>
    </row>
    <row r="118">
      <c r="A118" s="2" t="inlineStr">
        <is>
          <t>IRL 680</t>
        </is>
      </c>
      <c r="B118" s="2" t="inlineStr">
        <is>
          <t>Negotiation Simulation</t>
        </is>
      </c>
      <c r="C118" s="2" t="n">
        <v>6</v>
      </c>
    </row>
    <row r="119">
      <c r="A119" s="2" t="inlineStr">
        <is>
          <t>IRL 699</t>
        </is>
      </c>
      <c r="B119" s="2" t="inlineStr">
        <is>
          <t>Master's Thesis</t>
        </is>
      </c>
      <c r="C119" s="2" t="n">
        <v>6</v>
      </c>
    </row>
    <row r="120">
      <c r="A120" s="2" t="inlineStr">
        <is>
          <t>CIV 101</t>
        </is>
      </c>
      <c r="B120" s="2" t="inlineStr">
        <is>
          <t>Engineering Drawing</t>
        </is>
      </c>
      <c r="C120" s="2" t="n">
        <v>6</v>
      </c>
    </row>
    <row r="121">
      <c r="A121" s="2" t="inlineStr">
        <is>
          <t>PHY 101</t>
        </is>
      </c>
      <c r="B121" s="2" t="inlineStr">
        <is>
          <t>Physics I: Mechanics</t>
        </is>
      </c>
      <c r="C121" s="2" t="n">
        <v>6</v>
      </c>
    </row>
    <row r="122">
      <c r="A122" s="2" t="inlineStr">
        <is>
          <t>CHM 101</t>
        </is>
      </c>
      <c r="B122" s="2" t="inlineStr">
        <is>
          <t>General Chemistry</t>
        </is>
      </c>
      <c r="C122" s="2" t="n">
        <v>6</v>
      </c>
    </row>
    <row r="123">
      <c r="A123" s="2" t="inlineStr">
        <is>
          <t>CIV 150</t>
        </is>
      </c>
      <c r="B123" s="2" t="inlineStr">
        <is>
          <t>Statics</t>
        </is>
      </c>
      <c r="C123" s="2" t="n">
        <v>6</v>
      </c>
    </row>
    <row r="124">
      <c r="A124" s="2" t="inlineStr">
        <is>
          <t>MTH 140</t>
        </is>
      </c>
      <c r="B124" s="2" t="inlineStr">
        <is>
          <t>Calculus II</t>
        </is>
      </c>
      <c r="C124" s="2" t="n">
        <v>6</v>
      </c>
    </row>
    <row r="125">
      <c r="A125" s="2" t="inlineStr">
        <is>
          <t>PHY 102</t>
        </is>
      </c>
      <c r="B125" s="2" t="inlineStr">
        <is>
          <t>Physics II: Electricity and Magnetism</t>
        </is>
      </c>
      <c r="C125" s="2" t="n">
        <v>6</v>
      </c>
    </row>
    <row r="126">
      <c r="A126" s="2" t="inlineStr">
        <is>
          <t>CIV 160</t>
        </is>
      </c>
      <c r="B126" s="2" t="inlineStr">
        <is>
          <t>Surveying</t>
        </is>
      </c>
      <c r="C126" s="2" t="n">
        <v>6</v>
      </c>
    </row>
    <row r="127">
      <c r="A127" s="2" t="inlineStr">
        <is>
          <t>CIV 210</t>
        </is>
      </c>
      <c r="B127" s="2" t="inlineStr">
        <is>
          <t>Strength of Materials</t>
        </is>
      </c>
      <c r="C127" s="2" t="n">
        <v>6</v>
      </c>
    </row>
    <row r="128">
      <c r="A128" s="2" t="inlineStr">
        <is>
          <t>CIV 220</t>
        </is>
      </c>
      <c r="B128" s="2" t="inlineStr">
        <is>
          <t>Construction Materials</t>
        </is>
      </c>
      <c r="C128" s="2" t="n">
        <v>6</v>
      </c>
    </row>
    <row r="129">
      <c r="A129" s="2" t="inlineStr">
        <is>
          <t>CIV 230</t>
        </is>
      </c>
      <c r="B129" s="2" t="inlineStr">
        <is>
          <t>Fluid Mechanics</t>
        </is>
      </c>
      <c r="C129" s="2" t="n">
        <v>6</v>
      </c>
    </row>
    <row r="130">
      <c r="A130" s="2" t="inlineStr">
        <is>
          <t>MTH 210</t>
        </is>
      </c>
      <c r="B130" s="2" t="inlineStr">
        <is>
          <t>Differential Equations</t>
        </is>
      </c>
      <c r="C130" s="2" t="n">
        <v>6</v>
      </c>
    </row>
    <row r="131">
      <c r="A131" s="2" t="inlineStr">
        <is>
          <t>CIV 240</t>
        </is>
      </c>
      <c r="B131" s="2" t="inlineStr">
        <is>
          <t>Computer-Aided Design (CAD)</t>
        </is>
      </c>
      <c r="C131" s="2" t="n">
        <v>6</v>
      </c>
    </row>
    <row r="132">
      <c r="A132" s="2" t="inlineStr">
        <is>
          <t>CIV 250</t>
        </is>
      </c>
      <c r="B132" s="2" t="inlineStr">
        <is>
          <t>Structural Analysis</t>
        </is>
      </c>
      <c r="C132" s="2" t="n">
        <v>6</v>
      </c>
    </row>
    <row r="133">
      <c r="A133" s="2" t="inlineStr">
        <is>
          <t>CIV 260</t>
        </is>
      </c>
      <c r="B133" s="2" t="inlineStr">
        <is>
          <t>Soil Mechanics</t>
        </is>
      </c>
      <c r="C133" s="2" t="n">
        <v>6</v>
      </c>
    </row>
    <row r="134">
      <c r="A134" s="2" t="inlineStr">
        <is>
          <t>CIV 270</t>
        </is>
      </c>
      <c r="B134" s="2" t="inlineStr">
        <is>
          <t>Hydraulics</t>
        </is>
      </c>
      <c r="C134" s="2" t="n">
        <v>6</v>
      </c>
    </row>
    <row r="135">
      <c r="A135" s="2" t="inlineStr">
        <is>
          <t>CIV 280</t>
        </is>
      </c>
      <c r="B135" s="2" t="inlineStr">
        <is>
          <t>Transportation Engineering</t>
        </is>
      </c>
      <c r="C135" s="2" t="n">
        <v>6</v>
      </c>
    </row>
    <row r="136">
      <c r="A136" s="2" t="inlineStr">
        <is>
          <t>CIV 290</t>
        </is>
      </c>
      <c r="B136" s="2" t="inlineStr">
        <is>
          <t>Construction Management</t>
        </is>
      </c>
      <c r="C136" s="2" t="n">
        <v>6</v>
      </c>
    </row>
    <row r="137">
      <c r="A137" s="2" t="inlineStr">
        <is>
          <t>ART 101</t>
        </is>
      </c>
      <c r="B137" s="2" t="inlineStr">
        <is>
          <t>Drawing Fundamentals</t>
        </is>
      </c>
      <c r="C137" s="2" t="n">
        <v>6</v>
      </c>
    </row>
    <row r="138">
      <c r="A138" s="2" t="inlineStr">
        <is>
          <t>DES 101</t>
        </is>
      </c>
      <c r="B138" s="2" t="inlineStr">
        <is>
          <t>Design Principles</t>
        </is>
      </c>
      <c r="C138" s="2" t="n">
        <v>6</v>
      </c>
    </row>
    <row r="139">
      <c r="A139" s="2" t="inlineStr">
        <is>
          <t>ART 110</t>
        </is>
      </c>
      <c r="B139" s="2" t="inlineStr">
        <is>
          <t>Color Theory</t>
        </is>
      </c>
      <c r="C139" s="2" t="n">
        <v>6</v>
      </c>
    </row>
    <row r="140">
      <c r="A140" s="2" t="inlineStr">
        <is>
          <t>HIS 101</t>
        </is>
      </c>
      <c r="B140" s="2" t="inlineStr">
        <is>
          <t>History of Art</t>
        </is>
      </c>
      <c r="C140" s="2" t="n">
        <v>6</v>
      </c>
    </row>
    <row r="141">
      <c r="A141" s="2" t="inlineStr">
        <is>
          <t>DES 150</t>
        </is>
      </c>
      <c r="B141" s="2" t="inlineStr">
        <is>
          <t>Typography I</t>
        </is>
      </c>
      <c r="C141" s="2" t="n">
        <v>6</v>
      </c>
    </row>
    <row r="142">
      <c r="A142" s="2" t="inlineStr">
        <is>
          <t>DES 160</t>
        </is>
      </c>
      <c r="B142" s="2" t="inlineStr">
        <is>
          <t>Digital Imaging</t>
        </is>
      </c>
      <c r="C142" s="2" t="n">
        <v>6</v>
      </c>
    </row>
    <row r="143">
      <c r="A143" s="2" t="inlineStr">
        <is>
          <t>DES 170</t>
        </is>
      </c>
      <c r="B143" s="2" t="inlineStr">
        <is>
          <t>Visual Communication</t>
        </is>
      </c>
      <c r="C143" s="2" t="n">
        <v>6</v>
      </c>
    </row>
    <row r="144">
      <c r="A144" s="2" t="inlineStr">
        <is>
          <t>ART 150</t>
        </is>
      </c>
      <c r="B144" s="2" t="inlineStr">
        <is>
          <t>Photography Basics</t>
        </is>
      </c>
      <c r="C144" s="2" t="n">
        <v>6</v>
      </c>
    </row>
    <row r="145">
      <c r="A145" s="2" t="inlineStr">
        <is>
          <t>DES 210</t>
        </is>
      </c>
      <c r="B145" s="2" t="inlineStr">
        <is>
          <t>Typography II</t>
        </is>
      </c>
      <c r="C145" s="2" t="n">
        <v>6</v>
      </c>
    </row>
    <row r="146">
      <c r="A146" s="2" t="inlineStr">
        <is>
          <t>DES 220</t>
        </is>
      </c>
      <c r="B146" s="2" t="inlineStr">
        <is>
          <t>Brand Identity Design</t>
        </is>
      </c>
      <c r="C146" s="2" t="n">
        <v>6</v>
      </c>
    </row>
    <row r="147">
      <c r="A147" s="2" t="inlineStr">
        <is>
          <t>DES 230</t>
        </is>
      </c>
      <c r="B147" s="2" t="inlineStr">
        <is>
          <t>UI/UX Design</t>
        </is>
      </c>
      <c r="C147" s="2" t="n">
        <v>6</v>
      </c>
    </row>
    <row r="148">
      <c r="A148" s="2" t="inlineStr">
        <is>
          <t>DES 240</t>
        </is>
      </c>
      <c r="B148" s="2" t="inlineStr">
        <is>
          <t>Motion Graphics</t>
        </is>
      </c>
      <c r="C148" s="2" t="n">
        <v>6</v>
      </c>
    </row>
    <row r="149">
      <c r="A149" s="2" t="inlineStr">
        <is>
          <t>DES 250</t>
        </is>
      </c>
      <c r="B149" s="2" t="inlineStr">
        <is>
          <t>Print Production</t>
        </is>
      </c>
      <c r="C149" s="2" t="n">
        <v>6</v>
      </c>
    </row>
    <row r="150">
      <c r="A150" s="2" t="inlineStr">
        <is>
          <t>DES 260</t>
        </is>
      </c>
      <c r="B150" s="2" t="inlineStr">
        <is>
          <t>Packaging Design</t>
        </is>
      </c>
      <c r="C150" s="2" t="n">
        <v>6</v>
      </c>
    </row>
    <row r="151">
      <c r="A151" s="2" t="inlineStr">
        <is>
          <t>DES 270</t>
        </is>
      </c>
      <c r="B151" s="2" t="inlineStr">
        <is>
          <t>Illustration</t>
        </is>
      </c>
      <c r="C151" s="2" t="n">
        <v>6</v>
      </c>
    </row>
    <row r="152">
      <c r="A152" s="2" t="inlineStr">
        <is>
          <t>DES 280</t>
        </is>
      </c>
      <c r="B152" s="2" t="inlineStr">
        <is>
          <t>Interaction Design</t>
        </is>
      </c>
      <c r="C152" s="2" t="n">
        <v>6</v>
      </c>
    </row>
    <row r="153">
      <c r="A153" s="2" t="inlineStr">
        <is>
          <t>DES 290</t>
        </is>
      </c>
      <c r="B153" s="2" t="inlineStr">
        <is>
          <t>Portfolio Development</t>
        </is>
      </c>
      <c r="C153" s="2" t="n">
        <v>6</v>
      </c>
    </row>
    <row r="154">
      <c r="A154" s="2" t="inlineStr">
        <is>
          <t>ART 210</t>
        </is>
      </c>
      <c r="B154" s="2" t="inlineStr">
        <is>
          <t>Contemporary Art and Culture</t>
        </is>
      </c>
      <c r="C154" s="2" t="n">
        <v>6</v>
      </c>
    </row>
  </sheetData>
  <autoFilter ref="A1:C1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2" customWidth="1" min="4" max="4"/>
    <col width="12" customWidth="1" min="5" max="5"/>
    <col width="50" customWidth="1" min="6" max="6"/>
    <col width="7" customWidth="1" min="7" max="7"/>
    <col width="8" customWidth="1" min="8" max="8"/>
    <col width="11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1" t="inlineStr">
        <is>
          <t>Student ID</t>
        </is>
      </c>
      <c r="B1" s="1" t="inlineStr">
        <is>
          <t>Student Name</t>
        </is>
      </c>
      <c r="C1" s="1" t="inlineStr">
        <is>
          <t>Term</t>
        </is>
      </c>
      <c r="D1" s="1" t="inlineStr">
        <is>
          <t>Semester</t>
        </is>
      </c>
      <c r="E1" s="1" t="inlineStr">
        <is>
          <t>Course Code</t>
        </is>
      </c>
      <c r="F1" s="1" t="inlineStr">
        <is>
          <t>Course Title</t>
        </is>
      </c>
      <c r="G1" s="1" t="inlineStr">
        <is>
          <t>ECTS</t>
        </is>
      </c>
      <c r="H1" s="1" t="inlineStr">
        <is>
          <t>Grade</t>
        </is>
      </c>
      <c r="I1" s="1" t="inlineStr">
        <is>
          <t>Final Score</t>
        </is>
      </c>
      <c r="J1" s="1" t="inlineStr">
        <is>
          <t>Grade Points</t>
        </is>
      </c>
      <c r="K1" s="1" t="inlineStr">
        <is>
          <t>Quality Points</t>
        </is>
      </c>
      <c r="L1" s="1" t="inlineStr">
        <is>
          <t>ECTS Earned</t>
        </is>
      </c>
    </row>
    <row r="2">
      <c r="A2" s="2" t="inlineStr">
        <is>
          <t>m240101</t>
        </is>
      </c>
      <c r="B2" s="2">
        <f>IFERROR(VLOOKUP(A2,Students!$A:$B,2,FALSE),"")</f>
        <v/>
      </c>
      <c r="C2" s="2" t="inlineStr">
        <is>
          <t>Fall 2024</t>
        </is>
      </c>
      <c r="D2" s="2" t="inlineStr">
        <is>
          <t>Semester 1</t>
        </is>
      </c>
      <c r="E2" s="2" t="inlineStr">
        <is>
          <t>TAM 530</t>
        </is>
      </c>
      <c r="F2" s="2">
        <f>IFERROR(VLOOKUP(E2,Courses!$A:$C,2,FALSE),"")</f>
        <v/>
      </c>
      <c r="G2" s="2">
        <f>IFERROR(VLOOKUP(E2,Courses!$A:$C,3,FALSE),0)</f>
        <v/>
      </c>
      <c r="H2" s="2" t="inlineStr">
        <is>
          <t>A</t>
        </is>
      </c>
      <c r="I2" s="2" t="n">
        <v>95</v>
      </c>
      <c r="J2" s="2">
        <f>IFERROR(VLOOKUP(H2,'Grade Scale'!$A:$B,2,FALSE),0)</f>
        <v/>
      </c>
      <c r="K2" s="2">
        <f>J2*G2</f>
        <v/>
      </c>
      <c r="L2" s="2">
        <f>IF(H2="F",0,G2)</f>
        <v/>
      </c>
    </row>
    <row r="3">
      <c r="A3" s="2" t="inlineStr">
        <is>
          <t>m240101</t>
        </is>
      </c>
      <c r="B3" s="2">
        <f>IFERROR(VLOOKUP(A3,Students!$A:$B,2,FALSE),"")</f>
        <v/>
      </c>
      <c r="C3" s="2" t="inlineStr">
        <is>
          <t>Fall 2024</t>
        </is>
      </c>
      <c r="D3" s="2" t="inlineStr">
        <is>
          <t>Semester 1</t>
        </is>
      </c>
      <c r="E3" s="2" t="inlineStr">
        <is>
          <t>TGM 586</t>
        </is>
      </c>
      <c r="F3" s="2">
        <f>IFERROR(VLOOKUP(E3,Courses!$A:$C,2,FALSE),"")</f>
        <v/>
      </c>
      <c r="G3" s="2">
        <f>IFERROR(VLOOKUP(E3,Courses!$A:$C,3,FALSE),0)</f>
        <v/>
      </c>
      <c r="H3" s="2" t="inlineStr">
        <is>
          <t>A</t>
        </is>
      </c>
      <c r="I3" s="2" t="n">
        <v>95</v>
      </c>
      <c r="J3" s="2">
        <f>IFERROR(VLOOKUP(H3,'Grade Scale'!$A:$B,2,FALSE),0)</f>
        <v/>
      </c>
      <c r="K3" s="2">
        <f>J3*G3</f>
        <v/>
      </c>
      <c r="L3" s="2">
        <f>IF(H3="F",0,G3)</f>
        <v/>
      </c>
    </row>
    <row r="4">
      <c r="A4" s="2" t="inlineStr">
        <is>
          <t>m240101</t>
        </is>
      </c>
      <c r="B4" s="2">
        <f>IFERROR(VLOOKUP(A4,Students!$A:$B,2,FALSE),"")</f>
        <v/>
      </c>
      <c r="C4" s="2" t="inlineStr">
        <is>
          <t>Fall 2024</t>
        </is>
      </c>
      <c r="D4" s="2" t="inlineStr">
        <is>
          <t>Semester 1</t>
        </is>
      </c>
      <c r="E4" s="2" t="inlineStr">
        <is>
          <t>TAM 557</t>
        </is>
      </c>
      <c r="F4" s="2">
        <f>IFERROR(VLOOKUP(E4,Courses!$A:$C,2,FALSE),"")</f>
        <v/>
      </c>
      <c r="G4" s="2">
        <f>IFERROR(VLOOKUP(E4,Courses!$A:$C,3,FALSE),0)</f>
        <v/>
      </c>
      <c r="H4" s="2" t="inlineStr">
        <is>
          <t>C+</t>
        </is>
      </c>
      <c r="I4" s="2" t="n">
        <v>78</v>
      </c>
      <c r="J4" s="2">
        <f>IFERROR(VLOOKUP(H4,'Grade Scale'!$A:$B,2,FALSE),0)</f>
        <v/>
      </c>
      <c r="K4" s="2">
        <f>J4*G4</f>
        <v/>
      </c>
      <c r="L4" s="2">
        <f>IF(H4="F",0,G4)</f>
        <v/>
      </c>
    </row>
    <row r="5">
      <c r="A5" s="2" t="inlineStr">
        <is>
          <t>m240101</t>
        </is>
      </c>
      <c r="B5" s="2">
        <f>IFERROR(VLOOKUP(A5,Students!$A:$B,2,FALSE),"")</f>
        <v/>
      </c>
      <c r="C5" s="2" t="inlineStr">
        <is>
          <t>Fall 2024</t>
        </is>
      </c>
      <c r="D5" s="2" t="inlineStr">
        <is>
          <t>Semester 1</t>
        </is>
      </c>
      <c r="E5" s="2" t="inlineStr">
        <is>
          <t>TAM 542</t>
        </is>
      </c>
      <c r="F5" s="2">
        <f>IFERROR(VLOOKUP(E5,Courses!$A:$C,2,FALSE),"")</f>
        <v/>
      </c>
      <c r="G5" s="2">
        <f>IFERROR(VLOOKUP(E5,Courses!$A:$C,3,FALSE),0)</f>
        <v/>
      </c>
      <c r="H5" s="2" t="inlineStr">
        <is>
          <t>B+</t>
        </is>
      </c>
      <c r="I5" s="2" t="n">
        <v>89</v>
      </c>
      <c r="J5" s="2">
        <f>IFERROR(VLOOKUP(H5,'Grade Scale'!$A:$B,2,FALSE),0)</f>
        <v/>
      </c>
      <c r="K5" s="2">
        <f>J5*G5</f>
        <v/>
      </c>
      <c r="L5" s="2">
        <f>IF(H5="F",0,G5)</f>
        <v/>
      </c>
    </row>
    <row r="6">
      <c r="A6" s="2" t="inlineStr">
        <is>
          <t>m240101</t>
        </is>
      </c>
      <c r="B6" s="2">
        <f>IFERROR(VLOOKUP(A6,Students!$A:$B,2,FALSE),"")</f>
        <v/>
      </c>
      <c r="C6" s="2" t="inlineStr">
        <is>
          <t>Fall 2024</t>
        </is>
      </c>
      <c r="D6" s="2" t="inlineStr">
        <is>
          <t>Semester 1</t>
        </is>
      </c>
      <c r="E6" s="2" t="inlineStr">
        <is>
          <t>TAM 511</t>
        </is>
      </c>
      <c r="F6" s="2">
        <f>IFERROR(VLOOKUP(E6,Courses!$A:$C,2,FALSE),"")</f>
        <v/>
      </c>
      <c r="G6" s="2">
        <f>IFERROR(VLOOKUP(E6,Courses!$A:$C,3,FALSE),0)</f>
        <v/>
      </c>
      <c r="H6" s="2" t="inlineStr">
        <is>
          <t>A</t>
        </is>
      </c>
      <c r="I6" s="2" t="n">
        <v>93</v>
      </c>
      <c r="J6" s="2">
        <f>IFERROR(VLOOKUP(H6,'Grade Scale'!$A:$B,2,FALSE),0)</f>
        <v/>
      </c>
      <c r="K6" s="2">
        <f>J6*G6</f>
        <v/>
      </c>
      <c r="L6" s="2">
        <f>IF(H6="F",0,G6)</f>
        <v/>
      </c>
    </row>
    <row r="7">
      <c r="A7" s="2" t="inlineStr">
        <is>
          <t>m240101</t>
        </is>
      </c>
      <c r="B7" s="2">
        <f>IFERROR(VLOOKUP(A7,Students!$A:$B,2,FALSE),"")</f>
        <v/>
      </c>
      <c r="C7" s="2" t="inlineStr">
        <is>
          <t>Spring 2025</t>
        </is>
      </c>
      <c r="D7" s="2" t="inlineStr">
        <is>
          <t>Semester 2</t>
        </is>
      </c>
      <c r="E7" s="2" t="inlineStr">
        <is>
          <t>IAL 503</t>
        </is>
      </c>
      <c r="F7" s="2">
        <f>IFERROR(VLOOKUP(E7,Courses!$A:$C,2,FALSE),"")</f>
        <v/>
      </c>
      <c r="G7" s="2">
        <f>IFERROR(VLOOKUP(E7,Courses!$A:$C,3,FALSE),0)</f>
        <v/>
      </c>
      <c r="H7" s="2" t="inlineStr">
        <is>
          <t>A</t>
        </is>
      </c>
      <c r="I7" s="2" t="n">
        <v>93</v>
      </c>
      <c r="J7" s="2">
        <f>IFERROR(VLOOKUP(H7,'Grade Scale'!$A:$B,2,FALSE),0)</f>
        <v/>
      </c>
      <c r="K7" s="2">
        <f>J7*G7</f>
        <v/>
      </c>
      <c r="L7" s="2">
        <f>IF(H7="F",0,G7)</f>
        <v/>
      </c>
    </row>
    <row r="8">
      <c r="A8" s="2" t="inlineStr">
        <is>
          <t>m240101</t>
        </is>
      </c>
      <c r="B8" s="2">
        <f>IFERROR(VLOOKUP(A8,Students!$A:$B,2,FALSE),"")</f>
        <v/>
      </c>
      <c r="C8" s="2" t="inlineStr">
        <is>
          <t>Spring 2025</t>
        </is>
      </c>
      <c r="D8" s="2" t="inlineStr">
        <is>
          <t>Semester 2</t>
        </is>
      </c>
      <c r="E8" s="2" t="inlineStr">
        <is>
          <t>FIN 560</t>
        </is>
      </c>
      <c r="F8" s="2">
        <f>IFERROR(VLOOKUP(E8,Courses!$A:$C,2,FALSE),"")</f>
        <v/>
      </c>
      <c r="G8" s="2">
        <f>IFERROR(VLOOKUP(E8,Courses!$A:$C,3,FALSE),0)</f>
        <v/>
      </c>
      <c r="H8" s="2" t="inlineStr">
        <is>
          <t>B</t>
        </is>
      </c>
      <c r="I8" s="2" t="n">
        <v>84</v>
      </c>
      <c r="J8" s="2">
        <f>IFERROR(VLOOKUP(H8,'Grade Scale'!$A:$B,2,FALSE),0)</f>
        <v/>
      </c>
      <c r="K8" s="2">
        <f>J8*G8</f>
        <v/>
      </c>
      <c r="L8" s="2">
        <f>IF(H8="F",0,G8)</f>
        <v/>
      </c>
    </row>
    <row r="9">
      <c r="A9" s="2" t="inlineStr">
        <is>
          <t>m240101</t>
        </is>
      </c>
      <c r="B9" s="2">
        <f>IFERROR(VLOOKUP(A9,Students!$A:$B,2,FALSE),"")</f>
        <v/>
      </c>
      <c r="C9" s="2" t="inlineStr">
        <is>
          <t>Spring 2025</t>
        </is>
      </c>
      <c r="D9" s="2" t="inlineStr">
        <is>
          <t>Semester 2</t>
        </is>
      </c>
      <c r="E9" s="2" t="inlineStr">
        <is>
          <t>TGM 551</t>
        </is>
      </c>
      <c r="F9" s="2">
        <f>IFERROR(VLOOKUP(E9,Courses!$A:$C,2,FALSE),"")</f>
        <v/>
      </c>
      <c r="G9" s="2">
        <f>IFERROR(VLOOKUP(E9,Courses!$A:$C,3,FALSE),0)</f>
        <v/>
      </c>
      <c r="H9" s="2" t="inlineStr">
        <is>
          <t>B</t>
        </is>
      </c>
      <c r="I9" s="2" t="n">
        <v>85</v>
      </c>
      <c r="J9" s="2">
        <f>IFERROR(VLOOKUP(H9,'Grade Scale'!$A:$B,2,FALSE),0)</f>
        <v/>
      </c>
      <c r="K9" s="2">
        <f>J9*G9</f>
        <v/>
      </c>
      <c r="L9" s="2">
        <f>IF(H9="F",0,G9)</f>
        <v/>
      </c>
    </row>
    <row r="10">
      <c r="A10" s="2" t="inlineStr">
        <is>
          <t>m240101</t>
        </is>
      </c>
      <c r="B10" s="2">
        <f>IFERROR(VLOOKUP(A10,Students!$A:$B,2,FALSE),"")</f>
        <v/>
      </c>
      <c r="C10" s="2" t="inlineStr">
        <is>
          <t>Spring 2025</t>
        </is>
      </c>
      <c r="D10" s="2" t="inlineStr">
        <is>
          <t>Semester 2</t>
        </is>
      </c>
      <c r="E10" s="2" t="inlineStr">
        <is>
          <t>TAM 505</t>
        </is>
      </c>
      <c r="F10" s="2">
        <f>IFERROR(VLOOKUP(E10,Courses!$A:$C,2,FALSE),"")</f>
        <v/>
      </c>
      <c r="G10" s="2">
        <f>IFERROR(VLOOKUP(E10,Courses!$A:$C,3,FALSE),0)</f>
        <v/>
      </c>
      <c r="H10" s="2" t="inlineStr">
        <is>
          <t>A-</t>
        </is>
      </c>
      <c r="I10" s="2" t="n">
        <v>92</v>
      </c>
      <c r="J10" s="2">
        <f>IFERROR(VLOOKUP(H10,'Grade Scale'!$A:$B,2,FALSE),0)</f>
        <v/>
      </c>
      <c r="K10" s="2">
        <f>J10*G10</f>
        <v/>
      </c>
      <c r="L10" s="2">
        <f>IF(H10="F",0,G10)</f>
        <v/>
      </c>
    </row>
    <row r="11">
      <c r="A11" s="2" t="inlineStr">
        <is>
          <t>m240101</t>
        </is>
      </c>
      <c r="B11" s="2">
        <f>IFERROR(VLOOKUP(A11,Students!$A:$B,2,FALSE),"")</f>
        <v/>
      </c>
      <c r="C11" s="2" t="inlineStr">
        <is>
          <t>Spring 2025</t>
        </is>
      </c>
      <c r="D11" s="2" t="inlineStr">
        <is>
          <t>Semester 2</t>
        </is>
      </c>
      <c r="E11" s="2" t="inlineStr">
        <is>
          <t>TGM 507</t>
        </is>
      </c>
      <c r="F11" s="2">
        <f>IFERROR(VLOOKUP(E11,Courses!$A:$C,2,FALSE),"")</f>
        <v/>
      </c>
      <c r="G11" s="2">
        <f>IFERROR(VLOOKUP(E11,Courses!$A:$C,3,FALSE),0)</f>
        <v/>
      </c>
      <c r="H11" s="2" t="inlineStr">
        <is>
          <t>B</t>
        </is>
      </c>
      <c r="I11" s="2" t="n">
        <v>83</v>
      </c>
      <c r="J11" s="2">
        <f>IFERROR(VLOOKUP(H11,'Grade Scale'!$A:$B,2,FALSE),0)</f>
        <v/>
      </c>
      <c r="K11" s="2">
        <f>J11*G11</f>
        <v/>
      </c>
      <c r="L11" s="2">
        <f>IF(H11="F",0,G11)</f>
        <v/>
      </c>
    </row>
    <row r="12">
      <c r="A12" s="2" t="inlineStr">
        <is>
          <t>m240101</t>
        </is>
      </c>
      <c r="B12" s="2">
        <f>IFERROR(VLOOKUP(A12,Students!$A:$B,2,FALSE),"")</f>
        <v/>
      </c>
      <c r="C12" s="2" t="inlineStr">
        <is>
          <t>Fall 2025</t>
        </is>
      </c>
      <c r="D12" s="2" t="inlineStr">
        <is>
          <t>Semester 3</t>
        </is>
      </c>
      <c r="E12" s="2" t="inlineStr">
        <is>
          <t>TGM 610</t>
        </is>
      </c>
      <c r="F12" s="2">
        <f>IFERROR(VLOOKUP(E12,Courses!$A:$C,2,FALSE),"")</f>
        <v/>
      </c>
      <c r="G12" s="2">
        <f>IFERROR(VLOOKUP(E12,Courses!$A:$C,3,FALSE),0)</f>
        <v/>
      </c>
      <c r="H12" s="2" t="inlineStr">
        <is>
          <t>B+</t>
        </is>
      </c>
      <c r="I12" s="2" t="n">
        <v>89</v>
      </c>
      <c r="J12" s="2">
        <f>IFERROR(VLOOKUP(H12,'Grade Scale'!$A:$B,2,FALSE),0)</f>
        <v/>
      </c>
      <c r="K12" s="2">
        <f>J12*G12</f>
        <v/>
      </c>
      <c r="L12" s="2">
        <f>IF(H12="F",0,G12)</f>
        <v/>
      </c>
    </row>
    <row r="13">
      <c r="A13" s="2" t="inlineStr">
        <is>
          <t>m240101</t>
        </is>
      </c>
      <c r="B13" s="2">
        <f>IFERROR(VLOOKUP(A13,Students!$A:$B,2,FALSE),"")</f>
        <v/>
      </c>
      <c r="C13" s="2" t="inlineStr">
        <is>
          <t>Fall 2025</t>
        </is>
      </c>
      <c r="D13" s="2" t="inlineStr">
        <is>
          <t>Semester 3</t>
        </is>
      </c>
      <c r="E13" s="2" t="inlineStr">
        <is>
          <t>TGM 622</t>
        </is>
      </c>
      <c r="F13" s="2">
        <f>IFERROR(VLOOKUP(E13,Courses!$A:$C,2,FALSE),"")</f>
        <v/>
      </c>
      <c r="G13" s="2">
        <f>IFERROR(VLOOKUP(E13,Courses!$A:$C,3,FALSE),0)</f>
        <v/>
      </c>
      <c r="H13" s="2" t="inlineStr">
        <is>
          <t>B-</t>
        </is>
      </c>
      <c r="I13" s="2" t="n">
        <v>80</v>
      </c>
      <c r="J13" s="2">
        <f>IFERROR(VLOOKUP(H13,'Grade Scale'!$A:$B,2,FALSE),0)</f>
        <v/>
      </c>
      <c r="K13" s="2">
        <f>J13*G13</f>
        <v/>
      </c>
      <c r="L13" s="2">
        <f>IF(H13="F",0,G13)</f>
        <v/>
      </c>
    </row>
    <row r="14">
      <c r="A14" s="2" t="inlineStr">
        <is>
          <t>m240101</t>
        </is>
      </c>
      <c r="B14" s="2">
        <f>IFERROR(VLOOKUP(A14,Students!$A:$B,2,FALSE),"")</f>
        <v/>
      </c>
      <c r="C14" s="2" t="inlineStr">
        <is>
          <t>Fall 2025</t>
        </is>
      </c>
      <c r="D14" s="2" t="inlineStr">
        <is>
          <t>Semester 3</t>
        </is>
      </c>
      <c r="E14" s="2" t="inlineStr">
        <is>
          <t>TAM 615</t>
        </is>
      </c>
      <c r="F14" s="2">
        <f>IFERROR(VLOOKUP(E14,Courses!$A:$C,2,FALSE),"")</f>
        <v/>
      </c>
      <c r="G14" s="2">
        <f>IFERROR(VLOOKUP(E14,Courses!$A:$C,3,FALSE),0)</f>
        <v/>
      </c>
      <c r="H14" s="2" t="inlineStr">
        <is>
          <t>A-</t>
        </is>
      </c>
      <c r="I14" s="2" t="n">
        <v>90</v>
      </c>
      <c r="J14" s="2">
        <f>IFERROR(VLOOKUP(H14,'Grade Scale'!$A:$B,2,FALSE),0)</f>
        <v/>
      </c>
      <c r="K14" s="2">
        <f>J14*G14</f>
        <v/>
      </c>
      <c r="L14" s="2">
        <f>IF(H14="F",0,G14)</f>
        <v/>
      </c>
    </row>
    <row r="15">
      <c r="A15" s="2" t="inlineStr">
        <is>
          <t>m240101</t>
        </is>
      </c>
      <c r="B15" s="2">
        <f>IFERROR(VLOOKUP(A15,Students!$A:$B,2,FALSE),"")</f>
        <v/>
      </c>
      <c r="C15" s="2" t="inlineStr">
        <is>
          <t>Fall 2025</t>
        </is>
      </c>
      <c r="D15" s="2" t="inlineStr">
        <is>
          <t>Semester 3</t>
        </is>
      </c>
      <c r="E15" s="2" t="inlineStr">
        <is>
          <t>TGM 630</t>
        </is>
      </c>
      <c r="F15" s="2">
        <f>IFERROR(VLOOKUP(E15,Courses!$A:$C,2,FALSE),"")</f>
        <v/>
      </c>
      <c r="G15" s="2">
        <f>IFERROR(VLOOKUP(E15,Courses!$A:$C,3,FALSE),0)</f>
        <v/>
      </c>
      <c r="H15" s="2" t="inlineStr">
        <is>
          <t>B-</t>
        </is>
      </c>
      <c r="I15" s="2" t="n">
        <v>82</v>
      </c>
      <c r="J15" s="2">
        <f>IFERROR(VLOOKUP(H15,'Grade Scale'!$A:$B,2,FALSE),0)</f>
        <v/>
      </c>
      <c r="K15" s="2">
        <f>J15*G15</f>
        <v/>
      </c>
      <c r="L15" s="2">
        <f>IF(H15="F",0,G15)</f>
        <v/>
      </c>
    </row>
    <row r="16">
      <c r="A16" s="2" t="inlineStr">
        <is>
          <t>m240101</t>
        </is>
      </c>
      <c r="B16" s="2">
        <f>IFERROR(VLOOKUP(A16,Students!$A:$B,2,FALSE),"")</f>
        <v/>
      </c>
      <c r="C16" s="2" t="inlineStr">
        <is>
          <t>Fall 2025</t>
        </is>
      </c>
      <c r="D16" s="2" t="inlineStr">
        <is>
          <t>Semester 3</t>
        </is>
      </c>
      <c r="E16" s="2" t="inlineStr">
        <is>
          <t>TGM 690</t>
        </is>
      </c>
      <c r="F16" s="2">
        <f>IFERROR(VLOOKUP(E16,Courses!$A:$C,2,FALSE),"")</f>
        <v/>
      </c>
      <c r="G16" s="2">
        <f>IFERROR(VLOOKUP(E16,Courses!$A:$C,3,FALSE),0)</f>
        <v/>
      </c>
      <c r="H16" s="2" t="inlineStr">
        <is>
          <t>A-</t>
        </is>
      </c>
      <c r="I16" s="2" t="n">
        <v>91</v>
      </c>
      <c r="J16" s="2">
        <f>IFERROR(VLOOKUP(H16,'Grade Scale'!$A:$B,2,FALSE),0)</f>
        <v/>
      </c>
      <c r="K16" s="2">
        <f>J16*G16</f>
        <v/>
      </c>
      <c r="L16" s="2">
        <f>IF(H16="F",0,G16)</f>
        <v/>
      </c>
    </row>
    <row r="17">
      <c r="A17" s="2" t="inlineStr">
        <is>
          <t>m240101</t>
        </is>
      </c>
      <c r="B17" s="2">
        <f>IFERROR(VLOOKUP(A17,Students!$A:$B,2,FALSE),"")</f>
        <v/>
      </c>
      <c r="C17" s="2" t="inlineStr">
        <is>
          <t>Spring 2026</t>
        </is>
      </c>
      <c r="D17" s="2" t="inlineStr">
        <is>
          <t>Semester 4</t>
        </is>
      </c>
      <c r="E17" s="2" t="inlineStr">
        <is>
          <t>TGM 640</t>
        </is>
      </c>
      <c r="F17" s="2">
        <f>IFERROR(VLOOKUP(E17,Courses!$A:$C,2,FALSE),"")</f>
        <v/>
      </c>
      <c r="G17" s="2">
        <f>IFERROR(VLOOKUP(E17,Courses!$A:$C,3,FALSE),0)</f>
        <v/>
      </c>
      <c r="H17" s="2" t="inlineStr">
        <is>
          <t>A</t>
        </is>
      </c>
      <c r="I17" s="2" t="n">
        <v>98</v>
      </c>
      <c r="J17" s="2">
        <f>IFERROR(VLOOKUP(H17,'Grade Scale'!$A:$B,2,FALSE),0)</f>
        <v/>
      </c>
      <c r="K17" s="2">
        <f>J17*G17</f>
        <v/>
      </c>
      <c r="L17" s="2">
        <f>IF(H17="F",0,G17)</f>
        <v/>
      </c>
    </row>
    <row r="18">
      <c r="A18" s="2" t="inlineStr">
        <is>
          <t>m240101</t>
        </is>
      </c>
      <c r="B18" s="2">
        <f>IFERROR(VLOOKUP(A18,Students!$A:$B,2,FALSE),"")</f>
        <v/>
      </c>
      <c r="C18" s="2" t="inlineStr">
        <is>
          <t>Spring 2026</t>
        </is>
      </c>
      <c r="D18" s="2" t="inlineStr">
        <is>
          <t>Semester 4</t>
        </is>
      </c>
      <c r="E18" s="2" t="inlineStr">
        <is>
          <t>TGM 650</t>
        </is>
      </c>
      <c r="F18" s="2">
        <f>IFERROR(VLOOKUP(E18,Courses!$A:$C,2,FALSE),"")</f>
        <v/>
      </c>
      <c r="G18" s="2">
        <f>IFERROR(VLOOKUP(E18,Courses!$A:$C,3,FALSE),0)</f>
        <v/>
      </c>
      <c r="H18" s="2" t="inlineStr">
        <is>
          <t>A</t>
        </is>
      </c>
      <c r="I18" s="2" t="n">
        <v>98</v>
      </c>
      <c r="J18" s="2">
        <f>IFERROR(VLOOKUP(H18,'Grade Scale'!$A:$B,2,FALSE),0)</f>
        <v/>
      </c>
      <c r="K18" s="2">
        <f>J18*G18</f>
        <v/>
      </c>
      <c r="L18" s="2">
        <f>IF(H18="F",0,G18)</f>
        <v/>
      </c>
    </row>
    <row r="19">
      <c r="A19" s="2" t="inlineStr">
        <is>
          <t>m240101</t>
        </is>
      </c>
      <c r="B19" s="2">
        <f>IFERROR(VLOOKUP(A19,Students!$A:$B,2,FALSE),"")</f>
        <v/>
      </c>
      <c r="C19" s="2" t="inlineStr">
        <is>
          <t>Spring 2026</t>
        </is>
      </c>
      <c r="D19" s="2" t="inlineStr">
        <is>
          <t>Semester 4</t>
        </is>
      </c>
      <c r="E19" s="2" t="inlineStr">
        <is>
          <t>TGM 660</t>
        </is>
      </c>
      <c r="F19" s="2">
        <f>IFERROR(VLOOKUP(E19,Courses!$A:$C,2,FALSE),"")</f>
        <v/>
      </c>
      <c r="G19" s="2">
        <f>IFERROR(VLOOKUP(E19,Courses!$A:$C,3,FALSE),0)</f>
        <v/>
      </c>
      <c r="H19" s="2" t="inlineStr">
        <is>
          <t>A</t>
        </is>
      </c>
      <c r="I19" s="2" t="n">
        <v>97</v>
      </c>
      <c r="J19" s="2">
        <f>IFERROR(VLOOKUP(H19,'Grade Scale'!$A:$B,2,FALSE),0)</f>
        <v/>
      </c>
      <c r="K19" s="2">
        <f>J19*G19</f>
        <v/>
      </c>
      <c r="L19" s="2">
        <f>IF(H19="F",0,G19)</f>
        <v/>
      </c>
    </row>
    <row r="20">
      <c r="A20" s="2" t="inlineStr">
        <is>
          <t>m240101</t>
        </is>
      </c>
      <c r="B20" s="2">
        <f>IFERROR(VLOOKUP(A20,Students!$A:$B,2,FALSE),"")</f>
        <v/>
      </c>
      <c r="C20" s="2" t="inlineStr">
        <is>
          <t>Spring 2026</t>
        </is>
      </c>
      <c r="D20" s="2" t="inlineStr">
        <is>
          <t>Semester 4</t>
        </is>
      </c>
      <c r="E20" s="2" t="inlineStr">
        <is>
          <t>TGM 670</t>
        </is>
      </c>
      <c r="F20" s="2">
        <f>IFERROR(VLOOKUP(E20,Courses!$A:$C,2,FALSE),"")</f>
        <v/>
      </c>
      <c r="G20" s="2">
        <f>IFERROR(VLOOKUP(E20,Courses!$A:$C,3,FALSE),0)</f>
        <v/>
      </c>
      <c r="H20" s="2" t="inlineStr">
        <is>
          <t>B-</t>
        </is>
      </c>
      <c r="I20" s="2" t="n">
        <v>80</v>
      </c>
      <c r="J20" s="2">
        <f>IFERROR(VLOOKUP(H20,'Grade Scale'!$A:$B,2,FALSE),0)</f>
        <v/>
      </c>
      <c r="K20" s="2">
        <f>J20*G20</f>
        <v/>
      </c>
      <c r="L20" s="2">
        <f>IF(H20="F",0,G20)</f>
        <v/>
      </c>
    </row>
    <row r="21">
      <c r="A21" s="2" t="inlineStr">
        <is>
          <t>m240101</t>
        </is>
      </c>
      <c r="B21" s="2">
        <f>IFERROR(VLOOKUP(A21,Students!$A:$B,2,FALSE),"")</f>
        <v/>
      </c>
      <c r="C21" s="2" t="inlineStr">
        <is>
          <t>Spring 2026</t>
        </is>
      </c>
      <c r="D21" s="2" t="inlineStr">
        <is>
          <t>Semester 4</t>
        </is>
      </c>
      <c r="E21" s="2" t="inlineStr">
        <is>
          <t>TGM 699</t>
        </is>
      </c>
      <c r="F21" s="2">
        <f>IFERROR(VLOOKUP(E21,Courses!$A:$C,2,FALSE),"")</f>
        <v/>
      </c>
      <c r="G21" s="2">
        <f>IFERROR(VLOOKUP(E21,Courses!$A:$C,3,FALSE),0)</f>
        <v/>
      </c>
      <c r="H21" s="2" t="inlineStr">
        <is>
          <t>A</t>
        </is>
      </c>
      <c r="I21" s="2" t="n">
        <v>93</v>
      </c>
      <c r="J21" s="2">
        <f>IFERROR(VLOOKUP(H21,'Grade Scale'!$A:$B,2,FALSE),0)</f>
        <v/>
      </c>
      <c r="K21" s="2">
        <f>J21*G21</f>
        <v/>
      </c>
      <c r="L21" s="2">
        <f>IF(H21="F",0,G21)</f>
        <v/>
      </c>
    </row>
    <row r="22">
      <c r="A22" s="2" t="inlineStr">
        <is>
          <t>m240102</t>
        </is>
      </c>
      <c r="B22" s="2">
        <f>IFERROR(VLOOKUP(A22,Students!$A:$B,2,FALSE),"")</f>
        <v/>
      </c>
      <c r="C22" s="2" t="inlineStr">
        <is>
          <t>Fall 2024</t>
        </is>
      </c>
      <c r="D22" s="2" t="inlineStr">
        <is>
          <t>Semester 1</t>
        </is>
      </c>
      <c r="E22" s="2" t="inlineStr">
        <is>
          <t>TAM 530</t>
        </is>
      </c>
      <c r="F22" s="2">
        <f>IFERROR(VLOOKUP(E22,Courses!$A:$C,2,FALSE),"")</f>
        <v/>
      </c>
      <c r="G22" s="2">
        <f>IFERROR(VLOOKUP(E22,Courses!$A:$C,3,FALSE),0)</f>
        <v/>
      </c>
      <c r="H22" s="2" t="inlineStr">
        <is>
          <t>C+</t>
        </is>
      </c>
      <c r="I22" s="2" t="n">
        <v>77</v>
      </c>
      <c r="J22" s="2">
        <f>IFERROR(VLOOKUP(H22,'Grade Scale'!$A:$B,2,FALSE),0)</f>
        <v/>
      </c>
      <c r="K22" s="2">
        <f>J22*G22</f>
        <v/>
      </c>
      <c r="L22" s="2">
        <f>IF(H22="F",0,G22)</f>
        <v/>
      </c>
    </row>
    <row r="23">
      <c r="A23" s="2" t="inlineStr">
        <is>
          <t>m240102</t>
        </is>
      </c>
      <c r="B23" s="2">
        <f>IFERROR(VLOOKUP(A23,Students!$A:$B,2,FALSE),"")</f>
        <v/>
      </c>
      <c r="C23" s="2" t="inlineStr">
        <is>
          <t>Fall 2024</t>
        </is>
      </c>
      <c r="D23" s="2" t="inlineStr">
        <is>
          <t>Semester 1</t>
        </is>
      </c>
      <c r="E23" s="2" t="inlineStr">
        <is>
          <t>TGM 586</t>
        </is>
      </c>
      <c r="F23" s="2">
        <f>IFERROR(VLOOKUP(E23,Courses!$A:$C,2,FALSE),"")</f>
        <v/>
      </c>
      <c r="G23" s="2">
        <f>IFERROR(VLOOKUP(E23,Courses!$A:$C,3,FALSE),0)</f>
        <v/>
      </c>
      <c r="H23" s="2" t="inlineStr">
        <is>
          <t>C</t>
        </is>
      </c>
      <c r="I23" s="2" t="n">
        <v>73</v>
      </c>
      <c r="J23" s="2">
        <f>IFERROR(VLOOKUP(H23,'Grade Scale'!$A:$B,2,FALSE),0)</f>
        <v/>
      </c>
      <c r="K23" s="2">
        <f>J23*G23</f>
        <v/>
      </c>
      <c r="L23" s="2">
        <f>IF(H23="F",0,G23)</f>
        <v/>
      </c>
    </row>
    <row r="24">
      <c r="A24" s="2" t="inlineStr">
        <is>
          <t>m240102</t>
        </is>
      </c>
      <c r="B24" s="2">
        <f>IFERROR(VLOOKUP(A24,Students!$A:$B,2,FALSE),"")</f>
        <v/>
      </c>
      <c r="C24" s="2" t="inlineStr">
        <is>
          <t>Fall 2024</t>
        </is>
      </c>
      <c r="D24" s="2" t="inlineStr">
        <is>
          <t>Semester 1</t>
        </is>
      </c>
      <c r="E24" s="2" t="inlineStr">
        <is>
          <t>TAM 557</t>
        </is>
      </c>
      <c r="F24" s="2">
        <f>IFERROR(VLOOKUP(E24,Courses!$A:$C,2,FALSE),"")</f>
        <v/>
      </c>
      <c r="G24" s="2">
        <f>IFERROR(VLOOKUP(E24,Courses!$A:$C,3,FALSE),0)</f>
        <v/>
      </c>
      <c r="H24" s="2" t="inlineStr">
        <is>
          <t>B-</t>
        </is>
      </c>
      <c r="I24" s="2" t="n">
        <v>82</v>
      </c>
      <c r="J24" s="2">
        <f>IFERROR(VLOOKUP(H24,'Grade Scale'!$A:$B,2,FALSE),0)</f>
        <v/>
      </c>
      <c r="K24" s="2">
        <f>J24*G24</f>
        <v/>
      </c>
      <c r="L24" s="2">
        <f>IF(H24="F",0,G24)</f>
        <v/>
      </c>
    </row>
    <row r="25">
      <c r="A25" s="2" t="inlineStr">
        <is>
          <t>m240102</t>
        </is>
      </c>
      <c r="B25" s="2">
        <f>IFERROR(VLOOKUP(A25,Students!$A:$B,2,FALSE),"")</f>
        <v/>
      </c>
      <c r="C25" s="2" t="inlineStr">
        <is>
          <t>Fall 2024</t>
        </is>
      </c>
      <c r="D25" s="2" t="inlineStr">
        <is>
          <t>Semester 1</t>
        </is>
      </c>
      <c r="E25" s="2" t="inlineStr">
        <is>
          <t>TAM 542</t>
        </is>
      </c>
      <c r="F25" s="2">
        <f>IFERROR(VLOOKUP(E25,Courses!$A:$C,2,FALSE),"")</f>
        <v/>
      </c>
      <c r="G25" s="2">
        <f>IFERROR(VLOOKUP(E25,Courses!$A:$C,3,FALSE),0)</f>
        <v/>
      </c>
      <c r="H25" s="2" t="inlineStr">
        <is>
          <t>B</t>
        </is>
      </c>
      <c r="I25" s="2" t="n">
        <v>85</v>
      </c>
      <c r="J25" s="2">
        <f>IFERROR(VLOOKUP(H25,'Grade Scale'!$A:$B,2,FALSE),0)</f>
        <v/>
      </c>
      <c r="K25" s="2">
        <f>J25*G25</f>
        <v/>
      </c>
      <c r="L25" s="2">
        <f>IF(H25="F",0,G25)</f>
        <v/>
      </c>
    </row>
    <row r="26">
      <c r="A26" s="2" t="inlineStr">
        <is>
          <t>m240102</t>
        </is>
      </c>
      <c r="B26" s="2">
        <f>IFERROR(VLOOKUP(A26,Students!$A:$B,2,FALSE),"")</f>
        <v/>
      </c>
      <c r="C26" s="2" t="inlineStr">
        <is>
          <t>Fall 2024</t>
        </is>
      </c>
      <c r="D26" s="2" t="inlineStr">
        <is>
          <t>Semester 1</t>
        </is>
      </c>
      <c r="E26" s="2" t="inlineStr">
        <is>
          <t>TAM 511</t>
        </is>
      </c>
      <c r="F26" s="2">
        <f>IFERROR(VLOOKUP(E26,Courses!$A:$C,2,FALSE),"")</f>
        <v/>
      </c>
      <c r="G26" s="2">
        <f>IFERROR(VLOOKUP(E26,Courses!$A:$C,3,FALSE),0)</f>
        <v/>
      </c>
      <c r="H26" s="2" t="inlineStr">
        <is>
          <t>A</t>
        </is>
      </c>
      <c r="I26" s="2" t="n">
        <v>95</v>
      </c>
      <c r="J26" s="2">
        <f>IFERROR(VLOOKUP(H26,'Grade Scale'!$A:$B,2,FALSE),0)</f>
        <v/>
      </c>
      <c r="K26" s="2">
        <f>J26*G26</f>
        <v/>
      </c>
      <c r="L26" s="2">
        <f>IF(H26="F",0,G26)</f>
        <v/>
      </c>
    </row>
    <row r="27">
      <c r="A27" s="2" t="inlineStr">
        <is>
          <t>m240102</t>
        </is>
      </c>
      <c r="B27" s="2">
        <f>IFERROR(VLOOKUP(A27,Students!$A:$B,2,FALSE),"")</f>
        <v/>
      </c>
      <c r="C27" s="2" t="inlineStr">
        <is>
          <t>Spring 2025</t>
        </is>
      </c>
      <c r="D27" s="2" t="inlineStr">
        <is>
          <t>Semester 2</t>
        </is>
      </c>
      <c r="E27" s="2" t="inlineStr">
        <is>
          <t>IAL 503</t>
        </is>
      </c>
      <c r="F27" s="2">
        <f>IFERROR(VLOOKUP(E27,Courses!$A:$C,2,FALSE),"")</f>
        <v/>
      </c>
      <c r="G27" s="2">
        <f>IFERROR(VLOOKUP(E27,Courses!$A:$C,3,FALSE),0)</f>
        <v/>
      </c>
      <c r="H27" s="2" t="inlineStr">
        <is>
          <t>C+</t>
        </is>
      </c>
      <c r="I27" s="2" t="n">
        <v>79</v>
      </c>
      <c r="J27" s="2">
        <f>IFERROR(VLOOKUP(H27,'Grade Scale'!$A:$B,2,FALSE),0)</f>
        <v/>
      </c>
      <c r="K27" s="2">
        <f>J27*G27</f>
        <v/>
      </c>
      <c r="L27" s="2">
        <f>IF(H27="F",0,G27)</f>
        <v/>
      </c>
    </row>
    <row r="28">
      <c r="A28" s="2" t="inlineStr">
        <is>
          <t>m240102</t>
        </is>
      </c>
      <c r="B28" s="2">
        <f>IFERROR(VLOOKUP(A28,Students!$A:$B,2,FALSE),"")</f>
        <v/>
      </c>
      <c r="C28" s="2" t="inlineStr">
        <is>
          <t>Spring 2025</t>
        </is>
      </c>
      <c r="D28" s="2" t="inlineStr">
        <is>
          <t>Semester 2</t>
        </is>
      </c>
      <c r="E28" s="2" t="inlineStr">
        <is>
          <t>FIN 560</t>
        </is>
      </c>
      <c r="F28" s="2">
        <f>IFERROR(VLOOKUP(E28,Courses!$A:$C,2,FALSE),"")</f>
        <v/>
      </c>
      <c r="G28" s="2">
        <f>IFERROR(VLOOKUP(E28,Courses!$A:$C,3,FALSE),0)</f>
        <v/>
      </c>
      <c r="H28" s="2" t="inlineStr">
        <is>
          <t>B+</t>
        </is>
      </c>
      <c r="I28" s="2" t="n">
        <v>89</v>
      </c>
      <c r="J28" s="2">
        <f>IFERROR(VLOOKUP(H28,'Grade Scale'!$A:$B,2,FALSE),0)</f>
        <v/>
      </c>
      <c r="K28" s="2">
        <f>J28*G28</f>
        <v/>
      </c>
      <c r="L28" s="2">
        <f>IF(H28="F",0,G28)</f>
        <v/>
      </c>
    </row>
    <row r="29">
      <c r="A29" s="2" t="inlineStr">
        <is>
          <t>m240102</t>
        </is>
      </c>
      <c r="B29" s="2">
        <f>IFERROR(VLOOKUP(A29,Students!$A:$B,2,FALSE),"")</f>
        <v/>
      </c>
      <c r="C29" s="2" t="inlineStr">
        <is>
          <t>Spring 2025</t>
        </is>
      </c>
      <c r="D29" s="2" t="inlineStr">
        <is>
          <t>Semester 2</t>
        </is>
      </c>
      <c r="E29" s="2" t="inlineStr">
        <is>
          <t>TGM 551</t>
        </is>
      </c>
      <c r="F29" s="2">
        <f>IFERROR(VLOOKUP(E29,Courses!$A:$C,2,FALSE),"")</f>
        <v/>
      </c>
      <c r="G29" s="2">
        <f>IFERROR(VLOOKUP(E29,Courses!$A:$C,3,FALSE),0)</f>
        <v/>
      </c>
      <c r="H29" s="2" t="inlineStr">
        <is>
          <t>F</t>
        </is>
      </c>
      <c r="I29" s="2" t="n">
        <v>58</v>
      </c>
      <c r="J29" s="2">
        <f>IFERROR(VLOOKUP(H29,'Grade Scale'!$A:$B,2,FALSE),0)</f>
        <v/>
      </c>
      <c r="K29" s="2">
        <f>J29*G29</f>
        <v/>
      </c>
      <c r="L29" s="2">
        <f>IF(H29="F",0,G29)</f>
        <v/>
      </c>
    </row>
    <row r="30">
      <c r="A30" s="2" t="inlineStr">
        <is>
          <t>m240102</t>
        </is>
      </c>
      <c r="B30" s="2">
        <f>IFERROR(VLOOKUP(A30,Students!$A:$B,2,FALSE),"")</f>
        <v/>
      </c>
      <c r="C30" s="2" t="inlineStr">
        <is>
          <t>Spring 2025</t>
        </is>
      </c>
      <c r="D30" s="2" t="inlineStr">
        <is>
          <t>Semester 2</t>
        </is>
      </c>
      <c r="E30" s="2" t="inlineStr">
        <is>
          <t>TAM 505</t>
        </is>
      </c>
      <c r="F30" s="2">
        <f>IFERROR(VLOOKUP(E30,Courses!$A:$C,2,FALSE),"")</f>
        <v/>
      </c>
      <c r="G30" s="2">
        <f>IFERROR(VLOOKUP(E30,Courses!$A:$C,3,FALSE),0)</f>
        <v/>
      </c>
      <c r="H30" s="2" t="inlineStr">
        <is>
          <t>C+</t>
        </is>
      </c>
      <c r="I30" s="2" t="n">
        <v>79</v>
      </c>
      <c r="J30" s="2">
        <f>IFERROR(VLOOKUP(H30,'Grade Scale'!$A:$B,2,FALSE),0)</f>
        <v/>
      </c>
      <c r="K30" s="2">
        <f>J30*G30</f>
        <v/>
      </c>
      <c r="L30" s="2">
        <f>IF(H30="F",0,G30)</f>
        <v/>
      </c>
    </row>
    <row r="31">
      <c r="A31" s="2" t="inlineStr">
        <is>
          <t>m240102</t>
        </is>
      </c>
      <c r="B31" s="2">
        <f>IFERROR(VLOOKUP(A31,Students!$A:$B,2,FALSE),"")</f>
        <v/>
      </c>
      <c r="C31" s="2" t="inlineStr">
        <is>
          <t>Spring 2025</t>
        </is>
      </c>
      <c r="D31" s="2" t="inlineStr">
        <is>
          <t>Semester 2</t>
        </is>
      </c>
      <c r="E31" s="2" t="inlineStr">
        <is>
          <t>TGM 507</t>
        </is>
      </c>
      <c r="F31" s="2">
        <f>IFERROR(VLOOKUP(E31,Courses!$A:$C,2,FALSE),"")</f>
        <v/>
      </c>
      <c r="G31" s="2">
        <f>IFERROR(VLOOKUP(E31,Courses!$A:$C,3,FALSE),0)</f>
        <v/>
      </c>
      <c r="H31" s="2" t="inlineStr">
        <is>
          <t>B-</t>
        </is>
      </c>
      <c r="I31" s="2" t="n">
        <v>81</v>
      </c>
      <c r="J31" s="2">
        <f>IFERROR(VLOOKUP(H31,'Grade Scale'!$A:$B,2,FALSE),0)</f>
        <v/>
      </c>
      <c r="K31" s="2">
        <f>J31*G31</f>
        <v/>
      </c>
      <c r="L31" s="2">
        <f>IF(H31="F",0,G31)</f>
        <v/>
      </c>
    </row>
    <row r="32">
      <c r="A32" s="2" t="inlineStr">
        <is>
          <t>m240102</t>
        </is>
      </c>
      <c r="B32" s="2">
        <f>IFERROR(VLOOKUP(A32,Students!$A:$B,2,FALSE),"")</f>
        <v/>
      </c>
      <c r="C32" s="2" t="inlineStr">
        <is>
          <t>Fall 2025</t>
        </is>
      </c>
      <c r="D32" s="2" t="inlineStr">
        <is>
          <t>Semester 3</t>
        </is>
      </c>
      <c r="E32" s="2" t="inlineStr">
        <is>
          <t>TGM 610</t>
        </is>
      </c>
      <c r="F32" s="2">
        <f>IFERROR(VLOOKUP(E32,Courses!$A:$C,2,FALSE),"")</f>
        <v/>
      </c>
      <c r="G32" s="2">
        <f>IFERROR(VLOOKUP(E32,Courses!$A:$C,3,FALSE),0)</f>
        <v/>
      </c>
      <c r="H32" s="2" t="inlineStr">
        <is>
          <t>C+</t>
        </is>
      </c>
      <c r="I32" s="2" t="n">
        <v>77</v>
      </c>
      <c r="J32" s="2">
        <f>IFERROR(VLOOKUP(H32,'Grade Scale'!$A:$B,2,FALSE),0)</f>
        <v/>
      </c>
      <c r="K32" s="2">
        <f>J32*G32</f>
        <v/>
      </c>
      <c r="L32" s="2">
        <f>IF(H32="F",0,G32)</f>
        <v/>
      </c>
    </row>
    <row r="33">
      <c r="A33" s="2" t="inlineStr">
        <is>
          <t>m240102</t>
        </is>
      </c>
      <c r="B33" s="2">
        <f>IFERROR(VLOOKUP(A33,Students!$A:$B,2,FALSE),"")</f>
        <v/>
      </c>
      <c r="C33" s="2" t="inlineStr">
        <is>
          <t>Fall 2025</t>
        </is>
      </c>
      <c r="D33" s="2" t="inlineStr">
        <is>
          <t>Semester 3</t>
        </is>
      </c>
      <c r="E33" s="2" t="inlineStr">
        <is>
          <t>TGM 622</t>
        </is>
      </c>
      <c r="F33" s="2">
        <f>IFERROR(VLOOKUP(E33,Courses!$A:$C,2,FALSE),"")</f>
        <v/>
      </c>
      <c r="G33" s="2">
        <f>IFERROR(VLOOKUP(E33,Courses!$A:$C,3,FALSE),0)</f>
        <v/>
      </c>
      <c r="H33" s="2" t="inlineStr">
        <is>
          <t>B+</t>
        </is>
      </c>
      <c r="I33" s="2" t="n">
        <v>87</v>
      </c>
      <c r="J33" s="2">
        <f>IFERROR(VLOOKUP(H33,'Grade Scale'!$A:$B,2,FALSE),0)</f>
        <v/>
      </c>
      <c r="K33" s="2">
        <f>J33*G33</f>
        <v/>
      </c>
      <c r="L33" s="2">
        <f>IF(H33="F",0,G33)</f>
        <v/>
      </c>
    </row>
    <row r="34">
      <c r="A34" s="2" t="inlineStr">
        <is>
          <t>m240102</t>
        </is>
      </c>
      <c r="B34" s="2">
        <f>IFERROR(VLOOKUP(A34,Students!$A:$B,2,FALSE),"")</f>
        <v/>
      </c>
      <c r="C34" s="2" t="inlineStr">
        <is>
          <t>Fall 2025</t>
        </is>
      </c>
      <c r="D34" s="2" t="inlineStr">
        <is>
          <t>Semester 3</t>
        </is>
      </c>
      <c r="E34" s="2" t="inlineStr">
        <is>
          <t>TAM 615</t>
        </is>
      </c>
      <c r="F34" s="2">
        <f>IFERROR(VLOOKUP(E34,Courses!$A:$C,2,FALSE),"")</f>
        <v/>
      </c>
      <c r="G34" s="2">
        <f>IFERROR(VLOOKUP(E34,Courses!$A:$C,3,FALSE),0)</f>
        <v/>
      </c>
      <c r="H34" s="2" t="inlineStr">
        <is>
          <t>C+</t>
        </is>
      </c>
      <c r="I34" s="2" t="n">
        <v>79</v>
      </c>
      <c r="J34" s="2">
        <f>IFERROR(VLOOKUP(H34,'Grade Scale'!$A:$B,2,FALSE),0)</f>
        <v/>
      </c>
      <c r="K34" s="2">
        <f>J34*G34</f>
        <v/>
      </c>
      <c r="L34" s="2">
        <f>IF(H34="F",0,G34)</f>
        <v/>
      </c>
    </row>
    <row r="35">
      <c r="A35" s="2" t="inlineStr">
        <is>
          <t>m240102</t>
        </is>
      </c>
      <c r="B35" s="2">
        <f>IFERROR(VLOOKUP(A35,Students!$A:$B,2,FALSE),"")</f>
        <v/>
      </c>
      <c r="C35" s="2" t="inlineStr">
        <is>
          <t>Fall 2025</t>
        </is>
      </c>
      <c r="D35" s="2" t="inlineStr">
        <is>
          <t>Semester 3</t>
        </is>
      </c>
      <c r="E35" s="2" t="inlineStr">
        <is>
          <t>TGM 630</t>
        </is>
      </c>
      <c r="F35" s="2">
        <f>IFERROR(VLOOKUP(E35,Courses!$A:$C,2,FALSE),"")</f>
        <v/>
      </c>
      <c r="G35" s="2">
        <f>IFERROR(VLOOKUP(E35,Courses!$A:$C,3,FALSE),0)</f>
        <v/>
      </c>
      <c r="H35" s="2" t="inlineStr">
        <is>
          <t>B+</t>
        </is>
      </c>
      <c r="I35" s="2" t="n">
        <v>87</v>
      </c>
      <c r="J35" s="2">
        <f>IFERROR(VLOOKUP(H35,'Grade Scale'!$A:$B,2,FALSE),0)</f>
        <v/>
      </c>
      <c r="K35" s="2">
        <f>J35*G35</f>
        <v/>
      </c>
      <c r="L35" s="2">
        <f>IF(H35="F",0,G35)</f>
        <v/>
      </c>
    </row>
    <row r="36">
      <c r="A36" s="2" t="inlineStr">
        <is>
          <t>m240102</t>
        </is>
      </c>
      <c r="B36" s="2">
        <f>IFERROR(VLOOKUP(A36,Students!$A:$B,2,FALSE),"")</f>
        <v/>
      </c>
      <c r="C36" s="2" t="inlineStr">
        <is>
          <t>Fall 2025</t>
        </is>
      </c>
      <c r="D36" s="2" t="inlineStr">
        <is>
          <t>Semester 3</t>
        </is>
      </c>
      <c r="E36" s="2" t="inlineStr">
        <is>
          <t>TGM 690</t>
        </is>
      </c>
      <c r="F36" s="2">
        <f>IFERROR(VLOOKUP(E36,Courses!$A:$C,2,FALSE),"")</f>
        <v/>
      </c>
      <c r="G36" s="2">
        <f>IFERROR(VLOOKUP(E36,Courses!$A:$C,3,FALSE),0)</f>
        <v/>
      </c>
      <c r="H36" s="2" t="inlineStr">
        <is>
          <t>B+</t>
        </is>
      </c>
      <c r="I36" s="2" t="n">
        <v>88</v>
      </c>
      <c r="J36" s="2">
        <f>IFERROR(VLOOKUP(H36,'Grade Scale'!$A:$B,2,FALSE),0)</f>
        <v/>
      </c>
      <c r="K36" s="2">
        <f>J36*G36</f>
        <v/>
      </c>
      <c r="L36" s="2">
        <f>IF(H36="F",0,G36)</f>
        <v/>
      </c>
    </row>
    <row r="37">
      <c r="A37" s="2" t="inlineStr">
        <is>
          <t>m240102</t>
        </is>
      </c>
      <c r="B37" s="2">
        <f>IFERROR(VLOOKUP(A37,Students!$A:$B,2,FALSE),"")</f>
        <v/>
      </c>
      <c r="C37" s="2" t="inlineStr">
        <is>
          <t>Spring 2026</t>
        </is>
      </c>
      <c r="D37" s="2" t="inlineStr">
        <is>
          <t>Semester 4</t>
        </is>
      </c>
      <c r="E37" s="2" t="inlineStr">
        <is>
          <t>TGM 640</t>
        </is>
      </c>
      <c r="F37" s="2">
        <f>IFERROR(VLOOKUP(E37,Courses!$A:$C,2,FALSE),"")</f>
        <v/>
      </c>
      <c r="G37" s="2">
        <f>IFERROR(VLOOKUP(E37,Courses!$A:$C,3,FALSE),0)</f>
        <v/>
      </c>
      <c r="H37" s="2" t="inlineStr">
        <is>
          <t>C</t>
        </is>
      </c>
      <c r="I37" s="2" t="n">
        <v>74</v>
      </c>
      <c r="J37" s="2">
        <f>IFERROR(VLOOKUP(H37,'Grade Scale'!$A:$B,2,FALSE),0)</f>
        <v/>
      </c>
      <c r="K37" s="2">
        <f>J37*G37</f>
        <v/>
      </c>
      <c r="L37" s="2">
        <f>IF(H37="F",0,G37)</f>
        <v/>
      </c>
    </row>
    <row r="38">
      <c r="A38" s="2" t="inlineStr">
        <is>
          <t>m240102</t>
        </is>
      </c>
      <c r="B38" s="2">
        <f>IFERROR(VLOOKUP(A38,Students!$A:$B,2,FALSE),"")</f>
        <v/>
      </c>
      <c r="C38" s="2" t="inlineStr">
        <is>
          <t>Spring 2026</t>
        </is>
      </c>
      <c r="D38" s="2" t="inlineStr">
        <is>
          <t>Semester 4</t>
        </is>
      </c>
      <c r="E38" s="2" t="inlineStr">
        <is>
          <t>TGM 650</t>
        </is>
      </c>
      <c r="F38" s="2">
        <f>IFERROR(VLOOKUP(E38,Courses!$A:$C,2,FALSE),"")</f>
        <v/>
      </c>
      <c r="G38" s="2">
        <f>IFERROR(VLOOKUP(E38,Courses!$A:$C,3,FALSE),0)</f>
        <v/>
      </c>
      <c r="H38" s="2" t="inlineStr">
        <is>
          <t>B-</t>
        </is>
      </c>
      <c r="I38" s="2" t="n">
        <v>80</v>
      </c>
      <c r="J38" s="2">
        <f>IFERROR(VLOOKUP(H38,'Grade Scale'!$A:$B,2,FALSE),0)</f>
        <v/>
      </c>
      <c r="K38" s="2">
        <f>J38*G38</f>
        <v/>
      </c>
      <c r="L38" s="2">
        <f>IF(H38="F",0,G38)</f>
        <v/>
      </c>
    </row>
    <row r="39">
      <c r="A39" s="2" t="inlineStr">
        <is>
          <t>m240102</t>
        </is>
      </c>
      <c r="B39" s="2">
        <f>IFERROR(VLOOKUP(A39,Students!$A:$B,2,FALSE),"")</f>
        <v/>
      </c>
      <c r="C39" s="2" t="inlineStr">
        <is>
          <t>Spring 2026</t>
        </is>
      </c>
      <c r="D39" s="2" t="inlineStr">
        <is>
          <t>Semester 4</t>
        </is>
      </c>
      <c r="E39" s="2" t="inlineStr">
        <is>
          <t>TGM 660</t>
        </is>
      </c>
      <c r="F39" s="2">
        <f>IFERROR(VLOOKUP(E39,Courses!$A:$C,2,FALSE),"")</f>
        <v/>
      </c>
      <c r="G39" s="2">
        <f>IFERROR(VLOOKUP(E39,Courses!$A:$C,3,FALSE),0)</f>
        <v/>
      </c>
      <c r="H39" s="2" t="inlineStr">
        <is>
          <t>B-</t>
        </is>
      </c>
      <c r="I39" s="2" t="n">
        <v>80</v>
      </c>
      <c r="J39" s="2">
        <f>IFERROR(VLOOKUP(H39,'Grade Scale'!$A:$B,2,FALSE),0)</f>
        <v/>
      </c>
      <c r="K39" s="2">
        <f>J39*G39</f>
        <v/>
      </c>
      <c r="L39" s="2">
        <f>IF(H39="F",0,G39)</f>
        <v/>
      </c>
    </row>
    <row r="40">
      <c r="A40" s="2" t="inlineStr">
        <is>
          <t>m240102</t>
        </is>
      </c>
      <c r="B40" s="2">
        <f>IFERROR(VLOOKUP(A40,Students!$A:$B,2,FALSE),"")</f>
        <v/>
      </c>
      <c r="C40" s="2" t="inlineStr">
        <is>
          <t>Spring 2026</t>
        </is>
      </c>
      <c r="D40" s="2" t="inlineStr">
        <is>
          <t>Semester 4</t>
        </is>
      </c>
      <c r="E40" s="2" t="inlineStr">
        <is>
          <t>TGM 670</t>
        </is>
      </c>
      <c r="F40" s="2">
        <f>IFERROR(VLOOKUP(E40,Courses!$A:$C,2,FALSE),"")</f>
        <v/>
      </c>
      <c r="G40" s="2">
        <f>IFERROR(VLOOKUP(E40,Courses!$A:$C,3,FALSE),0)</f>
        <v/>
      </c>
      <c r="H40" s="2" t="inlineStr">
        <is>
          <t>B-</t>
        </is>
      </c>
      <c r="I40" s="2" t="n">
        <v>80</v>
      </c>
      <c r="J40" s="2">
        <f>IFERROR(VLOOKUP(H40,'Grade Scale'!$A:$B,2,FALSE),0)</f>
        <v/>
      </c>
      <c r="K40" s="2">
        <f>J40*G40</f>
        <v/>
      </c>
      <c r="L40" s="2">
        <f>IF(H40="F",0,G40)</f>
        <v/>
      </c>
    </row>
    <row r="41">
      <c r="A41" s="2" t="inlineStr">
        <is>
          <t>m240102</t>
        </is>
      </c>
      <c r="B41" s="2">
        <f>IFERROR(VLOOKUP(A41,Students!$A:$B,2,FALSE),"")</f>
        <v/>
      </c>
      <c r="C41" s="2" t="inlineStr">
        <is>
          <t>Spring 2026</t>
        </is>
      </c>
      <c r="D41" s="2" t="inlineStr">
        <is>
          <t>Semester 4</t>
        </is>
      </c>
      <c r="E41" s="2" t="inlineStr">
        <is>
          <t>TGM 699</t>
        </is>
      </c>
      <c r="F41" s="2">
        <f>IFERROR(VLOOKUP(E41,Courses!$A:$C,2,FALSE),"")</f>
        <v/>
      </c>
      <c r="G41" s="2">
        <f>IFERROR(VLOOKUP(E41,Courses!$A:$C,3,FALSE),0)</f>
        <v/>
      </c>
      <c r="H41" s="2" t="inlineStr">
        <is>
          <t>C</t>
        </is>
      </c>
      <c r="I41" s="2" t="n">
        <v>75</v>
      </c>
      <c r="J41" s="2">
        <f>IFERROR(VLOOKUP(H41,'Grade Scale'!$A:$B,2,FALSE),0)</f>
        <v/>
      </c>
      <c r="K41" s="2">
        <f>J41*G41</f>
        <v/>
      </c>
      <c r="L41" s="2">
        <f>IF(H41="F",0,G41)</f>
        <v/>
      </c>
    </row>
    <row r="42">
      <c r="A42" s="2" t="inlineStr">
        <is>
          <t>m240103</t>
        </is>
      </c>
      <c r="B42" s="2">
        <f>IFERROR(VLOOKUP(A42,Students!$A:$B,2,FALSE),"")</f>
        <v/>
      </c>
      <c r="C42" s="2" t="inlineStr">
        <is>
          <t>Fall 2024</t>
        </is>
      </c>
      <c r="D42" s="2" t="inlineStr">
        <is>
          <t>Semester 1</t>
        </is>
      </c>
      <c r="E42" s="2" t="inlineStr">
        <is>
          <t>MBA 501</t>
        </is>
      </c>
      <c r="F42" s="2">
        <f>IFERROR(VLOOKUP(E42,Courses!$A:$C,2,FALSE),"")</f>
        <v/>
      </c>
      <c r="G42" s="2">
        <f>IFERROR(VLOOKUP(E42,Courses!$A:$C,3,FALSE),0)</f>
        <v/>
      </c>
      <c r="H42" s="2" t="inlineStr">
        <is>
          <t>B+</t>
        </is>
      </c>
      <c r="I42" s="2" t="n">
        <v>87</v>
      </c>
      <c r="J42" s="2">
        <f>IFERROR(VLOOKUP(H42,'Grade Scale'!$A:$B,2,FALSE),0)</f>
        <v/>
      </c>
      <c r="K42" s="2">
        <f>J42*G42</f>
        <v/>
      </c>
      <c r="L42" s="2">
        <f>IF(H42="F",0,G42)</f>
        <v/>
      </c>
    </row>
    <row r="43">
      <c r="A43" s="2" t="inlineStr">
        <is>
          <t>m240103</t>
        </is>
      </c>
      <c r="B43" s="2">
        <f>IFERROR(VLOOKUP(A43,Students!$A:$B,2,FALSE),"")</f>
        <v/>
      </c>
      <c r="C43" s="2" t="inlineStr">
        <is>
          <t>Fall 2024</t>
        </is>
      </c>
      <c r="D43" s="2" t="inlineStr">
        <is>
          <t>Semester 1</t>
        </is>
      </c>
      <c r="E43" s="2" t="inlineStr">
        <is>
          <t>MBA 510</t>
        </is>
      </c>
      <c r="F43" s="2">
        <f>IFERROR(VLOOKUP(E43,Courses!$A:$C,2,FALSE),"")</f>
        <v/>
      </c>
      <c r="G43" s="2">
        <f>IFERROR(VLOOKUP(E43,Courses!$A:$C,3,FALSE),0)</f>
        <v/>
      </c>
      <c r="H43" s="2" t="inlineStr">
        <is>
          <t>A</t>
        </is>
      </c>
      <c r="I43" s="2" t="n">
        <v>95</v>
      </c>
      <c r="J43" s="2">
        <f>IFERROR(VLOOKUP(H43,'Grade Scale'!$A:$B,2,FALSE),0)</f>
        <v/>
      </c>
      <c r="K43" s="2">
        <f>J43*G43</f>
        <v/>
      </c>
      <c r="L43" s="2">
        <f>IF(H43="F",0,G43)</f>
        <v/>
      </c>
    </row>
    <row r="44">
      <c r="A44" s="2" t="inlineStr">
        <is>
          <t>m240103</t>
        </is>
      </c>
      <c r="B44" s="2">
        <f>IFERROR(VLOOKUP(A44,Students!$A:$B,2,FALSE),"")</f>
        <v/>
      </c>
      <c r="C44" s="2" t="inlineStr">
        <is>
          <t>Fall 2024</t>
        </is>
      </c>
      <c r="D44" s="2" t="inlineStr">
        <is>
          <t>Semester 1</t>
        </is>
      </c>
      <c r="E44" s="2" t="inlineStr">
        <is>
          <t>MBA 520</t>
        </is>
      </c>
      <c r="F44" s="2">
        <f>IFERROR(VLOOKUP(E44,Courses!$A:$C,2,FALSE),"")</f>
        <v/>
      </c>
      <c r="G44" s="2">
        <f>IFERROR(VLOOKUP(E44,Courses!$A:$C,3,FALSE),0)</f>
        <v/>
      </c>
      <c r="H44" s="2" t="inlineStr">
        <is>
          <t>B</t>
        </is>
      </c>
      <c r="I44" s="2" t="n">
        <v>86</v>
      </c>
      <c r="J44" s="2">
        <f>IFERROR(VLOOKUP(H44,'Grade Scale'!$A:$B,2,FALSE),0)</f>
        <v/>
      </c>
      <c r="K44" s="2">
        <f>J44*G44</f>
        <v/>
      </c>
      <c r="L44" s="2">
        <f>IF(H44="F",0,G44)</f>
        <v/>
      </c>
    </row>
    <row r="45">
      <c r="A45" s="2" t="inlineStr">
        <is>
          <t>m240103</t>
        </is>
      </c>
      <c r="B45" s="2">
        <f>IFERROR(VLOOKUP(A45,Students!$A:$B,2,FALSE),"")</f>
        <v/>
      </c>
      <c r="C45" s="2" t="inlineStr">
        <is>
          <t>Fall 2024</t>
        </is>
      </c>
      <c r="D45" s="2" t="inlineStr">
        <is>
          <t>Semester 1</t>
        </is>
      </c>
      <c r="E45" s="2" t="inlineStr">
        <is>
          <t>MBA 530</t>
        </is>
      </c>
      <c r="F45" s="2">
        <f>IFERROR(VLOOKUP(E45,Courses!$A:$C,2,FALSE),"")</f>
        <v/>
      </c>
      <c r="G45" s="2">
        <f>IFERROR(VLOOKUP(E45,Courses!$A:$C,3,FALSE),0)</f>
        <v/>
      </c>
      <c r="H45" s="2" t="inlineStr">
        <is>
          <t>B+</t>
        </is>
      </c>
      <c r="I45" s="2" t="n">
        <v>88</v>
      </c>
      <c r="J45" s="2">
        <f>IFERROR(VLOOKUP(H45,'Grade Scale'!$A:$B,2,FALSE),0)</f>
        <v/>
      </c>
      <c r="K45" s="2">
        <f>J45*G45</f>
        <v/>
      </c>
      <c r="L45" s="2">
        <f>IF(H45="F",0,G45)</f>
        <v/>
      </c>
    </row>
    <row r="46">
      <c r="A46" s="2" t="inlineStr">
        <is>
          <t>m240103</t>
        </is>
      </c>
      <c r="B46" s="2">
        <f>IFERROR(VLOOKUP(A46,Students!$A:$B,2,FALSE),"")</f>
        <v/>
      </c>
      <c r="C46" s="2" t="inlineStr">
        <is>
          <t>Fall 2024</t>
        </is>
      </c>
      <c r="D46" s="2" t="inlineStr">
        <is>
          <t>Semester 1</t>
        </is>
      </c>
      <c r="E46" s="2" t="inlineStr">
        <is>
          <t>MBA 540</t>
        </is>
      </c>
      <c r="F46" s="2">
        <f>IFERROR(VLOOKUP(E46,Courses!$A:$C,2,FALSE),"")</f>
        <v/>
      </c>
      <c r="G46" s="2">
        <f>IFERROR(VLOOKUP(E46,Courses!$A:$C,3,FALSE),0)</f>
        <v/>
      </c>
      <c r="H46" s="2" t="inlineStr">
        <is>
          <t>A</t>
        </is>
      </c>
      <c r="I46" s="2" t="n">
        <v>97</v>
      </c>
      <c r="J46" s="2">
        <f>IFERROR(VLOOKUP(H46,'Grade Scale'!$A:$B,2,FALSE),0)</f>
        <v/>
      </c>
      <c r="K46" s="2">
        <f>J46*G46</f>
        <v/>
      </c>
      <c r="L46" s="2">
        <f>IF(H46="F",0,G46)</f>
        <v/>
      </c>
    </row>
    <row r="47">
      <c r="A47" s="2" t="inlineStr">
        <is>
          <t>m240103</t>
        </is>
      </c>
      <c r="B47" s="2">
        <f>IFERROR(VLOOKUP(A47,Students!$A:$B,2,FALSE),"")</f>
        <v/>
      </c>
      <c r="C47" s="2" t="inlineStr">
        <is>
          <t>Spring 2025</t>
        </is>
      </c>
      <c r="D47" s="2" t="inlineStr">
        <is>
          <t>Semester 2</t>
        </is>
      </c>
      <c r="E47" s="2" t="inlineStr">
        <is>
          <t>MBA 550</t>
        </is>
      </c>
      <c r="F47" s="2">
        <f>IFERROR(VLOOKUP(E47,Courses!$A:$C,2,FALSE),"")</f>
        <v/>
      </c>
      <c r="G47" s="2">
        <f>IFERROR(VLOOKUP(E47,Courses!$A:$C,3,FALSE),0)</f>
        <v/>
      </c>
      <c r="H47" s="2" t="inlineStr">
        <is>
          <t>A</t>
        </is>
      </c>
      <c r="I47" s="2" t="n">
        <v>97</v>
      </c>
      <c r="J47" s="2">
        <f>IFERROR(VLOOKUP(H47,'Grade Scale'!$A:$B,2,FALSE),0)</f>
        <v/>
      </c>
      <c r="K47" s="2">
        <f>J47*G47</f>
        <v/>
      </c>
      <c r="L47" s="2">
        <f>IF(H47="F",0,G47)</f>
        <v/>
      </c>
    </row>
    <row r="48">
      <c r="A48" s="2" t="inlineStr">
        <is>
          <t>m240103</t>
        </is>
      </c>
      <c r="B48" s="2">
        <f>IFERROR(VLOOKUP(A48,Students!$A:$B,2,FALSE),"")</f>
        <v/>
      </c>
      <c r="C48" s="2" t="inlineStr">
        <is>
          <t>Spring 2025</t>
        </is>
      </c>
      <c r="D48" s="2" t="inlineStr">
        <is>
          <t>Semester 2</t>
        </is>
      </c>
      <c r="E48" s="2" t="inlineStr">
        <is>
          <t>MBA 560</t>
        </is>
      </c>
      <c r="F48" s="2">
        <f>IFERROR(VLOOKUP(E48,Courses!$A:$C,2,FALSE),"")</f>
        <v/>
      </c>
      <c r="G48" s="2">
        <f>IFERROR(VLOOKUP(E48,Courses!$A:$C,3,FALSE),0)</f>
        <v/>
      </c>
      <c r="H48" s="2" t="inlineStr">
        <is>
          <t>A-</t>
        </is>
      </c>
      <c r="I48" s="2" t="n">
        <v>92</v>
      </c>
      <c r="J48" s="2">
        <f>IFERROR(VLOOKUP(H48,'Grade Scale'!$A:$B,2,FALSE),0)</f>
        <v/>
      </c>
      <c r="K48" s="2">
        <f>J48*G48</f>
        <v/>
      </c>
      <c r="L48" s="2">
        <f>IF(H48="F",0,G48)</f>
        <v/>
      </c>
    </row>
    <row r="49">
      <c r="A49" s="2" t="inlineStr">
        <is>
          <t>m240103</t>
        </is>
      </c>
      <c r="B49" s="2">
        <f>IFERROR(VLOOKUP(A49,Students!$A:$B,2,FALSE),"")</f>
        <v/>
      </c>
      <c r="C49" s="2" t="inlineStr">
        <is>
          <t>Spring 2025</t>
        </is>
      </c>
      <c r="D49" s="2" t="inlineStr">
        <is>
          <t>Semester 2</t>
        </is>
      </c>
      <c r="E49" s="2" t="inlineStr">
        <is>
          <t>MBA 570</t>
        </is>
      </c>
      <c r="F49" s="2">
        <f>IFERROR(VLOOKUP(E49,Courses!$A:$C,2,FALSE),"")</f>
        <v/>
      </c>
      <c r="G49" s="2">
        <f>IFERROR(VLOOKUP(E49,Courses!$A:$C,3,FALSE),0)</f>
        <v/>
      </c>
      <c r="H49" s="2" t="inlineStr">
        <is>
          <t>B</t>
        </is>
      </c>
      <c r="I49" s="2" t="n">
        <v>84</v>
      </c>
      <c r="J49" s="2">
        <f>IFERROR(VLOOKUP(H49,'Grade Scale'!$A:$B,2,FALSE),0)</f>
        <v/>
      </c>
      <c r="K49" s="2">
        <f>J49*G49</f>
        <v/>
      </c>
      <c r="L49" s="2">
        <f>IF(H49="F",0,G49)</f>
        <v/>
      </c>
    </row>
    <row r="50">
      <c r="A50" s="2" t="inlineStr">
        <is>
          <t>m240103</t>
        </is>
      </c>
      <c r="B50" s="2">
        <f>IFERROR(VLOOKUP(A50,Students!$A:$B,2,FALSE),"")</f>
        <v/>
      </c>
      <c r="C50" s="2" t="inlineStr">
        <is>
          <t>Spring 2025</t>
        </is>
      </c>
      <c r="D50" s="2" t="inlineStr">
        <is>
          <t>Semester 2</t>
        </is>
      </c>
      <c r="E50" s="2" t="inlineStr">
        <is>
          <t>MBA 580</t>
        </is>
      </c>
      <c r="F50" s="2">
        <f>IFERROR(VLOOKUP(E50,Courses!$A:$C,2,FALSE),"")</f>
        <v/>
      </c>
      <c r="G50" s="2">
        <f>IFERROR(VLOOKUP(E50,Courses!$A:$C,3,FALSE),0)</f>
        <v/>
      </c>
      <c r="H50" s="2" t="inlineStr">
        <is>
          <t>C+</t>
        </is>
      </c>
      <c r="I50" s="2" t="n">
        <v>79</v>
      </c>
      <c r="J50" s="2">
        <f>IFERROR(VLOOKUP(H50,'Grade Scale'!$A:$B,2,FALSE),0)</f>
        <v/>
      </c>
      <c r="K50" s="2">
        <f>J50*G50</f>
        <v/>
      </c>
      <c r="L50" s="2">
        <f>IF(H50="F",0,G50)</f>
        <v/>
      </c>
    </row>
    <row r="51">
      <c r="A51" s="2" t="inlineStr">
        <is>
          <t>m240103</t>
        </is>
      </c>
      <c r="B51" s="2">
        <f>IFERROR(VLOOKUP(A51,Students!$A:$B,2,FALSE),"")</f>
        <v/>
      </c>
      <c r="C51" s="2" t="inlineStr">
        <is>
          <t>Spring 2025</t>
        </is>
      </c>
      <c r="D51" s="2" t="inlineStr">
        <is>
          <t>Semester 2</t>
        </is>
      </c>
      <c r="E51" s="2" t="inlineStr">
        <is>
          <t>MBA 590</t>
        </is>
      </c>
      <c r="F51" s="2">
        <f>IFERROR(VLOOKUP(E51,Courses!$A:$C,2,FALSE),"")</f>
        <v/>
      </c>
      <c r="G51" s="2">
        <f>IFERROR(VLOOKUP(E51,Courses!$A:$C,3,FALSE),0)</f>
        <v/>
      </c>
      <c r="H51" s="2" t="inlineStr">
        <is>
          <t>A</t>
        </is>
      </c>
      <c r="I51" s="2" t="n">
        <v>93</v>
      </c>
      <c r="J51" s="2">
        <f>IFERROR(VLOOKUP(H51,'Grade Scale'!$A:$B,2,FALSE),0)</f>
        <v/>
      </c>
      <c r="K51" s="2">
        <f>J51*G51</f>
        <v/>
      </c>
      <c r="L51" s="2">
        <f>IF(H51="F",0,G51)</f>
        <v/>
      </c>
    </row>
    <row r="52">
      <c r="A52" s="2" t="inlineStr">
        <is>
          <t>m240103</t>
        </is>
      </c>
      <c r="B52" s="2">
        <f>IFERROR(VLOOKUP(A52,Students!$A:$B,2,FALSE),"")</f>
        <v/>
      </c>
      <c r="C52" s="2" t="inlineStr">
        <is>
          <t>Fall 2025</t>
        </is>
      </c>
      <c r="D52" s="2" t="inlineStr">
        <is>
          <t>Semester 3</t>
        </is>
      </c>
      <c r="E52" s="2" t="inlineStr">
        <is>
          <t>MBA 610</t>
        </is>
      </c>
      <c r="F52" s="2">
        <f>IFERROR(VLOOKUP(E52,Courses!$A:$C,2,FALSE),"")</f>
        <v/>
      </c>
      <c r="G52" s="2">
        <f>IFERROR(VLOOKUP(E52,Courses!$A:$C,3,FALSE),0)</f>
        <v/>
      </c>
      <c r="H52" s="2" t="inlineStr">
        <is>
          <t>A-</t>
        </is>
      </c>
      <c r="I52" s="2" t="n">
        <v>92</v>
      </c>
      <c r="J52" s="2">
        <f>IFERROR(VLOOKUP(H52,'Grade Scale'!$A:$B,2,FALSE),0)</f>
        <v/>
      </c>
      <c r="K52" s="2">
        <f>J52*G52</f>
        <v/>
      </c>
      <c r="L52" s="2">
        <f>IF(H52="F",0,G52)</f>
        <v/>
      </c>
    </row>
    <row r="53">
      <c r="A53" s="2" t="inlineStr">
        <is>
          <t>m240103</t>
        </is>
      </c>
      <c r="B53" s="2">
        <f>IFERROR(VLOOKUP(A53,Students!$A:$B,2,FALSE),"")</f>
        <v/>
      </c>
      <c r="C53" s="2" t="inlineStr">
        <is>
          <t>Fall 2025</t>
        </is>
      </c>
      <c r="D53" s="2" t="inlineStr">
        <is>
          <t>Semester 3</t>
        </is>
      </c>
      <c r="E53" s="2" t="inlineStr">
        <is>
          <t>MBA 620</t>
        </is>
      </c>
      <c r="F53" s="2">
        <f>IFERROR(VLOOKUP(E53,Courses!$A:$C,2,FALSE),"")</f>
        <v/>
      </c>
      <c r="G53" s="2">
        <f>IFERROR(VLOOKUP(E53,Courses!$A:$C,3,FALSE),0)</f>
        <v/>
      </c>
      <c r="H53" s="2" t="inlineStr">
        <is>
          <t>A</t>
        </is>
      </c>
      <c r="I53" s="2" t="n">
        <v>98</v>
      </c>
      <c r="J53" s="2">
        <f>IFERROR(VLOOKUP(H53,'Grade Scale'!$A:$B,2,FALSE),0)</f>
        <v/>
      </c>
      <c r="K53" s="2">
        <f>J53*G53</f>
        <v/>
      </c>
      <c r="L53" s="2">
        <f>IF(H53="F",0,G53)</f>
        <v/>
      </c>
    </row>
    <row r="54">
      <c r="A54" s="2" t="inlineStr">
        <is>
          <t>m240103</t>
        </is>
      </c>
      <c r="B54" s="2">
        <f>IFERROR(VLOOKUP(A54,Students!$A:$B,2,FALSE),"")</f>
        <v/>
      </c>
      <c r="C54" s="2" t="inlineStr">
        <is>
          <t>Fall 2025</t>
        </is>
      </c>
      <c r="D54" s="2" t="inlineStr">
        <is>
          <t>Semester 3</t>
        </is>
      </c>
      <c r="E54" s="2" t="inlineStr">
        <is>
          <t>MBA 630</t>
        </is>
      </c>
      <c r="F54" s="2">
        <f>IFERROR(VLOOKUP(E54,Courses!$A:$C,2,FALSE),"")</f>
        <v/>
      </c>
      <c r="G54" s="2">
        <f>IFERROR(VLOOKUP(E54,Courses!$A:$C,3,FALSE),0)</f>
        <v/>
      </c>
      <c r="H54" s="2" t="inlineStr">
        <is>
          <t>A</t>
        </is>
      </c>
      <c r="I54" s="2" t="n">
        <v>98</v>
      </c>
      <c r="J54" s="2">
        <f>IFERROR(VLOOKUP(H54,'Grade Scale'!$A:$B,2,FALSE),0)</f>
        <v/>
      </c>
      <c r="K54" s="2">
        <f>J54*G54</f>
        <v/>
      </c>
      <c r="L54" s="2">
        <f>IF(H54="F",0,G54)</f>
        <v/>
      </c>
    </row>
    <row r="55">
      <c r="A55" s="2" t="inlineStr">
        <is>
          <t>m240103</t>
        </is>
      </c>
      <c r="B55" s="2">
        <f>IFERROR(VLOOKUP(A55,Students!$A:$B,2,FALSE),"")</f>
        <v/>
      </c>
      <c r="C55" s="2" t="inlineStr">
        <is>
          <t>Fall 2025</t>
        </is>
      </c>
      <c r="D55" s="2" t="inlineStr">
        <is>
          <t>Semester 3</t>
        </is>
      </c>
      <c r="E55" s="2" t="inlineStr">
        <is>
          <t>MBA 640</t>
        </is>
      </c>
      <c r="F55" s="2">
        <f>IFERROR(VLOOKUP(E55,Courses!$A:$C,2,FALSE),"")</f>
        <v/>
      </c>
      <c r="G55" s="2">
        <f>IFERROR(VLOOKUP(E55,Courses!$A:$C,3,FALSE),0)</f>
        <v/>
      </c>
      <c r="H55" s="2" t="inlineStr">
        <is>
          <t>B+</t>
        </is>
      </c>
      <c r="I55" s="2" t="n">
        <v>89</v>
      </c>
      <c r="J55" s="2">
        <f>IFERROR(VLOOKUP(H55,'Grade Scale'!$A:$B,2,FALSE),0)</f>
        <v/>
      </c>
      <c r="K55" s="2">
        <f>J55*G55</f>
        <v/>
      </c>
      <c r="L55" s="2">
        <f>IF(H55="F",0,G55)</f>
        <v/>
      </c>
    </row>
    <row r="56">
      <c r="A56" s="2" t="inlineStr">
        <is>
          <t>m240103</t>
        </is>
      </c>
      <c r="B56" s="2">
        <f>IFERROR(VLOOKUP(A56,Students!$A:$B,2,FALSE),"")</f>
        <v/>
      </c>
      <c r="C56" s="2" t="inlineStr">
        <is>
          <t>Fall 2025</t>
        </is>
      </c>
      <c r="D56" s="2" t="inlineStr">
        <is>
          <t>Semester 3</t>
        </is>
      </c>
      <c r="E56" s="2" t="inlineStr">
        <is>
          <t>MBA 690</t>
        </is>
      </c>
      <c r="F56" s="2">
        <f>IFERROR(VLOOKUP(E56,Courses!$A:$C,2,FALSE),"")</f>
        <v/>
      </c>
      <c r="G56" s="2">
        <f>IFERROR(VLOOKUP(E56,Courses!$A:$C,3,FALSE),0)</f>
        <v/>
      </c>
      <c r="H56" s="2" t="inlineStr">
        <is>
          <t>A-</t>
        </is>
      </c>
      <c r="I56" s="2" t="n">
        <v>91</v>
      </c>
      <c r="J56" s="2">
        <f>IFERROR(VLOOKUP(H56,'Grade Scale'!$A:$B,2,FALSE),0)</f>
        <v/>
      </c>
      <c r="K56" s="2">
        <f>J56*G56</f>
        <v/>
      </c>
      <c r="L56" s="2">
        <f>IF(H56="F",0,G56)</f>
        <v/>
      </c>
    </row>
    <row r="57">
      <c r="A57" s="2" t="inlineStr">
        <is>
          <t>m240103</t>
        </is>
      </c>
      <c r="B57" s="2">
        <f>IFERROR(VLOOKUP(A57,Students!$A:$B,2,FALSE),"")</f>
        <v/>
      </c>
      <c r="C57" s="2" t="inlineStr">
        <is>
          <t>Spring 2026</t>
        </is>
      </c>
      <c r="D57" s="2" t="inlineStr">
        <is>
          <t>Semester 4</t>
        </is>
      </c>
      <c r="E57" s="2" t="inlineStr">
        <is>
          <t>MBA 650</t>
        </is>
      </c>
      <c r="F57" s="2">
        <f>IFERROR(VLOOKUP(E57,Courses!$A:$C,2,FALSE),"")</f>
        <v/>
      </c>
      <c r="G57" s="2">
        <f>IFERROR(VLOOKUP(E57,Courses!$A:$C,3,FALSE),0)</f>
        <v/>
      </c>
      <c r="H57" s="2" t="inlineStr">
        <is>
          <t>A-</t>
        </is>
      </c>
      <c r="I57" s="2" t="n">
        <v>92</v>
      </c>
      <c r="J57" s="2">
        <f>IFERROR(VLOOKUP(H57,'Grade Scale'!$A:$B,2,FALSE),0)</f>
        <v/>
      </c>
      <c r="K57" s="2">
        <f>J57*G57</f>
        <v/>
      </c>
      <c r="L57" s="2">
        <f>IF(H57="F",0,G57)</f>
        <v/>
      </c>
    </row>
    <row r="58">
      <c r="A58" s="2" t="inlineStr">
        <is>
          <t>m240103</t>
        </is>
      </c>
      <c r="B58" s="2">
        <f>IFERROR(VLOOKUP(A58,Students!$A:$B,2,FALSE),"")</f>
        <v/>
      </c>
      <c r="C58" s="2" t="inlineStr">
        <is>
          <t>Spring 2026</t>
        </is>
      </c>
      <c r="D58" s="2" t="inlineStr">
        <is>
          <t>Semester 4</t>
        </is>
      </c>
      <c r="E58" s="2" t="inlineStr">
        <is>
          <t>MBA 660</t>
        </is>
      </c>
      <c r="F58" s="2">
        <f>IFERROR(VLOOKUP(E58,Courses!$A:$C,2,FALSE),"")</f>
        <v/>
      </c>
      <c r="G58" s="2">
        <f>IFERROR(VLOOKUP(E58,Courses!$A:$C,3,FALSE),0)</f>
        <v/>
      </c>
      <c r="H58" s="2" t="inlineStr">
        <is>
          <t>A</t>
        </is>
      </c>
      <c r="I58" s="2" t="n">
        <v>93</v>
      </c>
      <c r="J58" s="2">
        <f>IFERROR(VLOOKUP(H58,'Grade Scale'!$A:$B,2,FALSE),0)</f>
        <v/>
      </c>
      <c r="K58" s="2">
        <f>J58*G58</f>
        <v/>
      </c>
      <c r="L58" s="2">
        <f>IF(H58="F",0,G58)</f>
        <v/>
      </c>
    </row>
    <row r="59">
      <c r="A59" s="2" t="inlineStr">
        <is>
          <t>m240103</t>
        </is>
      </c>
      <c r="B59" s="2">
        <f>IFERROR(VLOOKUP(A59,Students!$A:$B,2,FALSE),"")</f>
        <v/>
      </c>
      <c r="C59" s="2" t="inlineStr">
        <is>
          <t>Spring 2026</t>
        </is>
      </c>
      <c r="D59" s="2" t="inlineStr">
        <is>
          <t>Semester 4</t>
        </is>
      </c>
      <c r="E59" s="2" t="inlineStr">
        <is>
          <t>MBA 670</t>
        </is>
      </c>
      <c r="F59" s="2">
        <f>IFERROR(VLOOKUP(E59,Courses!$A:$C,2,FALSE),"")</f>
        <v/>
      </c>
      <c r="G59" s="2">
        <f>IFERROR(VLOOKUP(E59,Courses!$A:$C,3,FALSE),0)</f>
        <v/>
      </c>
      <c r="H59" s="2" t="inlineStr">
        <is>
          <t>A</t>
        </is>
      </c>
      <c r="I59" s="2" t="n">
        <v>95</v>
      </c>
      <c r="J59" s="2">
        <f>IFERROR(VLOOKUP(H59,'Grade Scale'!$A:$B,2,FALSE),0)</f>
        <v/>
      </c>
      <c r="K59" s="2">
        <f>J59*G59</f>
        <v/>
      </c>
      <c r="L59" s="2">
        <f>IF(H59="F",0,G59)</f>
        <v/>
      </c>
    </row>
    <row r="60">
      <c r="A60" s="2" t="inlineStr">
        <is>
          <t>m240103</t>
        </is>
      </c>
      <c r="B60" s="2">
        <f>IFERROR(VLOOKUP(A60,Students!$A:$B,2,FALSE),"")</f>
        <v/>
      </c>
      <c r="C60" s="2" t="inlineStr">
        <is>
          <t>Spring 2026</t>
        </is>
      </c>
      <c r="D60" s="2" t="inlineStr">
        <is>
          <t>Semester 4</t>
        </is>
      </c>
      <c r="E60" s="2" t="inlineStr">
        <is>
          <t>MBA 680</t>
        </is>
      </c>
      <c r="F60" s="2">
        <f>IFERROR(VLOOKUP(E60,Courses!$A:$C,2,FALSE),"")</f>
        <v/>
      </c>
      <c r="G60" s="2">
        <f>IFERROR(VLOOKUP(E60,Courses!$A:$C,3,FALSE),0)</f>
        <v/>
      </c>
      <c r="H60" s="2" t="inlineStr">
        <is>
          <t>A</t>
        </is>
      </c>
      <c r="I60" s="2" t="n">
        <v>100</v>
      </c>
      <c r="J60" s="2">
        <f>IFERROR(VLOOKUP(H60,'Grade Scale'!$A:$B,2,FALSE),0)</f>
        <v/>
      </c>
      <c r="K60" s="2">
        <f>J60*G60</f>
        <v/>
      </c>
      <c r="L60" s="2">
        <f>IF(H60="F",0,G60)</f>
        <v/>
      </c>
    </row>
    <row r="61">
      <c r="A61" s="2" t="inlineStr">
        <is>
          <t>m240103</t>
        </is>
      </c>
      <c r="B61" s="2">
        <f>IFERROR(VLOOKUP(A61,Students!$A:$B,2,FALSE),"")</f>
        <v/>
      </c>
      <c r="C61" s="2" t="inlineStr">
        <is>
          <t>Spring 2026</t>
        </is>
      </c>
      <c r="D61" s="2" t="inlineStr">
        <is>
          <t>Semester 4</t>
        </is>
      </c>
      <c r="E61" s="2" t="inlineStr">
        <is>
          <t>MBA 699</t>
        </is>
      </c>
      <c r="F61" s="2">
        <f>IFERROR(VLOOKUP(E61,Courses!$A:$C,2,FALSE),"")</f>
        <v/>
      </c>
      <c r="G61" s="2">
        <f>IFERROR(VLOOKUP(E61,Courses!$A:$C,3,FALSE),0)</f>
        <v/>
      </c>
      <c r="H61" s="2" t="inlineStr">
        <is>
          <t>A</t>
        </is>
      </c>
      <c r="I61" s="2" t="n">
        <v>95</v>
      </c>
      <c r="J61" s="2">
        <f>IFERROR(VLOOKUP(H61,'Grade Scale'!$A:$B,2,FALSE),0)</f>
        <v/>
      </c>
      <c r="K61" s="2">
        <f>J61*G61</f>
        <v/>
      </c>
      <c r="L61" s="2">
        <f>IF(H61="F",0,G61)</f>
        <v/>
      </c>
    </row>
    <row r="62">
      <c r="A62" s="2" t="inlineStr">
        <is>
          <t>m240104</t>
        </is>
      </c>
      <c r="B62" s="2">
        <f>IFERROR(VLOOKUP(A62,Students!$A:$B,2,FALSE),"")</f>
        <v/>
      </c>
      <c r="C62" s="2" t="inlineStr">
        <is>
          <t>Fall 2024</t>
        </is>
      </c>
      <c r="D62" s="2" t="inlineStr">
        <is>
          <t>Semester 1</t>
        </is>
      </c>
      <c r="E62" s="2" t="inlineStr">
        <is>
          <t>CSE 101</t>
        </is>
      </c>
      <c r="F62" s="2">
        <f>IFERROR(VLOOKUP(E62,Courses!$A:$C,2,FALSE),"")</f>
        <v/>
      </c>
      <c r="G62" s="2">
        <f>IFERROR(VLOOKUP(E62,Courses!$A:$C,3,FALSE),0)</f>
        <v/>
      </c>
      <c r="H62" s="2" t="inlineStr">
        <is>
          <t>B+</t>
        </is>
      </c>
      <c r="I62" s="2" t="n">
        <v>88</v>
      </c>
      <c r="J62" s="2">
        <f>IFERROR(VLOOKUP(H62,'Grade Scale'!$A:$B,2,FALSE),0)</f>
        <v/>
      </c>
      <c r="K62" s="2">
        <f>J62*G62</f>
        <v/>
      </c>
      <c r="L62" s="2">
        <f>IF(H62="F",0,G62)</f>
        <v/>
      </c>
    </row>
    <row r="63">
      <c r="A63" s="2" t="inlineStr">
        <is>
          <t>m240104</t>
        </is>
      </c>
      <c r="B63" s="2">
        <f>IFERROR(VLOOKUP(A63,Students!$A:$B,2,FALSE),"")</f>
        <v/>
      </c>
      <c r="C63" s="2" t="inlineStr">
        <is>
          <t>Fall 2024</t>
        </is>
      </c>
      <c r="D63" s="2" t="inlineStr">
        <is>
          <t>Semester 1</t>
        </is>
      </c>
      <c r="E63" s="2" t="inlineStr">
        <is>
          <t>MTH 110</t>
        </is>
      </c>
      <c r="F63" s="2">
        <f>IFERROR(VLOOKUP(E63,Courses!$A:$C,2,FALSE),"")</f>
        <v/>
      </c>
      <c r="G63" s="2">
        <f>IFERROR(VLOOKUP(E63,Courses!$A:$C,3,FALSE),0)</f>
        <v/>
      </c>
      <c r="H63" s="2" t="inlineStr">
        <is>
          <t>B</t>
        </is>
      </c>
      <c r="I63" s="2" t="n">
        <v>84</v>
      </c>
      <c r="J63" s="2">
        <f>IFERROR(VLOOKUP(H63,'Grade Scale'!$A:$B,2,FALSE),0)</f>
        <v/>
      </c>
      <c r="K63" s="2">
        <f>J63*G63</f>
        <v/>
      </c>
      <c r="L63" s="2">
        <f>IF(H63="F",0,G63)</f>
        <v/>
      </c>
    </row>
    <row r="64">
      <c r="A64" s="2" t="inlineStr">
        <is>
          <t>m240104</t>
        </is>
      </c>
      <c r="B64" s="2">
        <f>IFERROR(VLOOKUP(A64,Students!$A:$B,2,FALSE),"")</f>
        <v/>
      </c>
      <c r="C64" s="2" t="inlineStr">
        <is>
          <t>Fall 2024</t>
        </is>
      </c>
      <c r="D64" s="2" t="inlineStr">
        <is>
          <t>Semester 1</t>
        </is>
      </c>
      <c r="E64" s="2" t="inlineStr">
        <is>
          <t>CSE 120</t>
        </is>
      </c>
      <c r="F64" s="2">
        <f>IFERROR(VLOOKUP(E64,Courses!$A:$C,2,FALSE),"")</f>
        <v/>
      </c>
      <c r="G64" s="2">
        <f>IFERROR(VLOOKUP(E64,Courses!$A:$C,3,FALSE),0)</f>
        <v/>
      </c>
      <c r="H64" s="2" t="inlineStr">
        <is>
          <t>B-</t>
        </is>
      </c>
      <c r="I64" s="2" t="n">
        <v>81</v>
      </c>
      <c r="J64" s="2">
        <f>IFERROR(VLOOKUP(H64,'Grade Scale'!$A:$B,2,FALSE),0)</f>
        <v/>
      </c>
      <c r="K64" s="2">
        <f>J64*G64</f>
        <v/>
      </c>
      <c r="L64" s="2">
        <f>IF(H64="F",0,G64)</f>
        <v/>
      </c>
    </row>
    <row r="65">
      <c r="A65" s="2" t="inlineStr">
        <is>
          <t>m240104</t>
        </is>
      </c>
      <c r="B65" s="2">
        <f>IFERROR(VLOOKUP(A65,Students!$A:$B,2,FALSE),"")</f>
        <v/>
      </c>
      <c r="C65" s="2" t="inlineStr">
        <is>
          <t>Fall 2024</t>
        </is>
      </c>
      <c r="D65" s="2" t="inlineStr">
        <is>
          <t>Semester 1</t>
        </is>
      </c>
      <c r="E65" s="2" t="inlineStr">
        <is>
          <t>ENG 101</t>
        </is>
      </c>
      <c r="F65" s="2">
        <f>IFERROR(VLOOKUP(E65,Courses!$A:$C,2,FALSE),"")</f>
        <v/>
      </c>
      <c r="G65" s="2">
        <f>IFERROR(VLOOKUP(E65,Courses!$A:$C,3,FALSE),0)</f>
        <v/>
      </c>
      <c r="H65" s="2" t="inlineStr">
        <is>
          <t>B-</t>
        </is>
      </c>
      <c r="I65" s="2" t="n">
        <v>81</v>
      </c>
      <c r="J65" s="2">
        <f>IFERROR(VLOOKUP(H65,'Grade Scale'!$A:$B,2,FALSE),0)</f>
        <v/>
      </c>
      <c r="K65" s="2">
        <f>J65*G65</f>
        <v/>
      </c>
      <c r="L65" s="2">
        <f>IF(H65="F",0,G65)</f>
        <v/>
      </c>
    </row>
    <row r="66">
      <c r="A66" s="2" t="inlineStr">
        <is>
          <t>m240104</t>
        </is>
      </c>
      <c r="B66" s="2">
        <f>IFERROR(VLOOKUP(A66,Students!$A:$B,2,FALSE),"")</f>
        <v/>
      </c>
      <c r="C66" s="2" t="inlineStr">
        <is>
          <t>Fall 2024</t>
        </is>
      </c>
      <c r="D66" s="2" t="inlineStr">
        <is>
          <t>Semester 1</t>
        </is>
      </c>
      <c r="E66" s="2" t="inlineStr">
        <is>
          <t>MTH 120</t>
        </is>
      </c>
      <c r="F66" s="2">
        <f>IFERROR(VLOOKUP(E66,Courses!$A:$C,2,FALSE),"")</f>
        <v/>
      </c>
      <c r="G66" s="2">
        <f>IFERROR(VLOOKUP(E66,Courses!$A:$C,3,FALSE),0)</f>
        <v/>
      </c>
      <c r="H66" s="2" t="inlineStr">
        <is>
          <t>B-</t>
        </is>
      </c>
      <c r="I66" s="2" t="n">
        <v>82</v>
      </c>
      <c r="J66" s="2">
        <f>IFERROR(VLOOKUP(H66,'Grade Scale'!$A:$B,2,FALSE),0)</f>
        <v/>
      </c>
      <c r="K66" s="2">
        <f>J66*G66</f>
        <v/>
      </c>
      <c r="L66" s="2">
        <f>IF(H66="F",0,G66)</f>
        <v/>
      </c>
    </row>
    <row r="67">
      <c r="A67" s="2" t="inlineStr">
        <is>
          <t>m240104</t>
        </is>
      </c>
      <c r="B67" s="2">
        <f>IFERROR(VLOOKUP(A67,Students!$A:$B,2,FALSE),"")</f>
        <v/>
      </c>
      <c r="C67" s="2" t="inlineStr">
        <is>
          <t>Spring 2025</t>
        </is>
      </c>
      <c r="D67" s="2" t="inlineStr">
        <is>
          <t>Semester 2</t>
        </is>
      </c>
      <c r="E67" s="2" t="inlineStr">
        <is>
          <t>CSE 150</t>
        </is>
      </c>
      <c r="F67" s="2">
        <f>IFERROR(VLOOKUP(E67,Courses!$A:$C,2,FALSE),"")</f>
        <v/>
      </c>
      <c r="G67" s="2">
        <f>IFERROR(VLOOKUP(E67,Courses!$A:$C,3,FALSE),0)</f>
        <v/>
      </c>
      <c r="H67" s="2" t="inlineStr">
        <is>
          <t>B</t>
        </is>
      </c>
      <c r="I67" s="2" t="n">
        <v>86</v>
      </c>
      <c r="J67" s="2">
        <f>IFERROR(VLOOKUP(H67,'Grade Scale'!$A:$B,2,FALSE),0)</f>
        <v/>
      </c>
      <c r="K67" s="2">
        <f>J67*G67</f>
        <v/>
      </c>
      <c r="L67" s="2">
        <f>IF(H67="F",0,G67)</f>
        <v/>
      </c>
    </row>
    <row r="68">
      <c r="A68" s="2" t="inlineStr">
        <is>
          <t>m240104</t>
        </is>
      </c>
      <c r="B68" s="2">
        <f>IFERROR(VLOOKUP(A68,Students!$A:$B,2,FALSE),"")</f>
        <v/>
      </c>
      <c r="C68" s="2" t="inlineStr">
        <is>
          <t>Spring 2025</t>
        </is>
      </c>
      <c r="D68" s="2" t="inlineStr">
        <is>
          <t>Semester 2</t>
        </is>
      </c>
      <c r="E68" s="2" t="inlineStr">
        <is>
          <t>CSE 160</t>
        </is>
      </c>
      <c r="F68" s="2">
        <f>IFERROR(VLOOKUP(E68,Courses!$A:$C,2,FALSE),"")</f>
        <v/>
      </c>
      <c r="G68" s="2">
        <f>IFERROR(VLOOKUP(E68,Courses!$A:$C,3,FALSE),0)</f>
        <v/>
      </c>
      <c r="H68" s="2" t="inlineStr">
        <is>
          <t>A-</t>
        </is>
      </c>
      <c r="I68" s="2" t="n">
        <v>92</v>
      </c>
      <c r="J68" s="2">
        <f>IFERROR(VLOOKUP(H68,'Grade Scale'!$A:$B,2,FALSE),0)</f>
        <v/>
      </c>
      <c r="K68" s="2">
        <f>J68*G68</f>
        <v/>
      </c>
      <c r="L68" s="2">
        <f>IF(H68="F",0,G68)</f>
        <v/>
      </c>
    </row>
    <row r="69">
      <c r="A69" s="2" t="inlineStr">
        <is>
          <t>m240104</t>
        </is>
      </c>
      <c r="B69" s="2">
        <f>IFERROR(VLOOKUP(A69,Students!$A:$B,2,FALSE),"")</f>
        <v/>
      </c>
      <c r="C69" s="2" t="inlineStr">
        <is>
          <t>Spring 2025</t>
        </is>
      </c>
      <c r="D69" s="2" t="inlineStr">
        <is>
          <t>Semester 2</t>
        </is>
      </c>
      <c r="E69" s="2" t="inlineStr">
        <is>
          <t>CSE 170</t>
        </is>
      </c>
      <c r="F69" s="2">
        <f>IFERROR(VLOOKUP(E69,Courses!$A:$C,2,FALSE),"")</f>
        <v/>
      </c>
      <c r="G69" s="2">
        <f>IFERROR(VLOOKUP(E69,Courses!$A:$C,3,FALSE),0)</f>
        <v/>
      </c>
      <c r="H69" s="2" t="inlineStr">
        <is>
          <t>B-</t>
        </is>
      </c>
      <c r="I69" s="2" t="n">
        <v>80</v>
      </c>
      <c r="J69" s="2">
        <f>IFERROR(VLOOKUP(H69,'Grade Scale'!$A:$B,2,FALSE),0)</f>
        <v/>
      </c>
      <c r="K69" s="2">
        <f>J69*G69</f>
        <v/>
      </c>
      <c r="L69" s="2">
        <f>IF(H69="F",0,G69)</f>
        <v/>
      </c>
    </row>
    <row r="70">
      <c r="A70" s="2" t="inlineStr">
        <is>
          <t>m240104</t>
        </is>
      </c>
      <c r="B70" s="2">
        <f>IFERROR(VLOOKUP(A70,Students!$A:$B,2,FALSE),"")</f>
        <v/>
      </c>
      <c r="C70" s="2" t="inlineStr">
        <is>
          <t>Spring 2025</t>
        </is>
      </c>
      <c r="D70" s="2" t="inlineStr">
        <is>
          <t>Semester 2</t>
        </is>
      </c>
      <c r="E70" s="2" t="inlineStr">
        <is>
          <t>ENG 102</t>
        </is>
      </c>
      <c r="F70" s="2">
        <f>IFERROR(VLOOKUP(E70,Courses!$A:$C,2,FALSE),"")</f>
        <v/>
      </c>
      <c r="G70" s="2">
        <f>IFERROR(VLOOKUP(E70,Courses!$A:$C,3,FALSE),0)</f>
        <v/>
      </c>
      <c r="H70" s="2" t="inlineStr">
        <is>
          <t>C+</t>
        </is>
      </c>
      <c r="I70" s="2" t="n">
        <v>79</v>
      </c>
      <c r="J70" s="2">
        <f>IFERROR(VLOOKUP(H70,'Grade Scale'!$A:$B,2,FALSE),0)</f>
        <v/>
      </c>
      <c r="K70" s="2">
        <f>J70*G70</f>
        <v/>
      </c>
      <c r="L70" s="2">
        <f>IF(H70="F",0,G70)</f>
        <v/>
      </c>
    </row>
    <row r="71">
      <c r="A71" s="2" t="inlineStr">
        <is>
          <t>m240104</t>
        </is>
      </c>
      <c r="B71" s="2">
        <f>IFERROR(VLOOKUP(A71,Students!$A:$B,2,FALSE),"")</f>
        <v/>
      </c>
      <c r="C71" s="2" t="inlineStr">
        <is>
          <t>Spring 2025</t>
        </is>
      </c>
      <c r="D71" s="2" t="inlineStr">
        <is>
          <t>Semester 2</t>
        </is>
      </c>
      <c r="E71" s="2" t="inlineStr">
        <is>
          <t>MTH 130</t>
        </is>
      </c>
      <c r="F71" s="2">
        <f>IFERROR(VLOOKUP(E71,Courses!$A:$C,2,FALSE),"")</f>
        <v/>
      </c>
      <c r="G71" s="2">
        <f>IFERROR(VLOOKUP(E71,Courses!$A:$C,3,FALSE),0)</f>
        <v/>
      </c>
      <c r="H71" s="2" t="inlineStr">
        <is>
          <t>B+</t>
        </is>
      </c>
      <c r="I71" s="2" t="n">
        <v>88</v>
      </c>
      <c r="J71" s="2">
        <f>IFERROR(VLOOKUP(H71,'Grade Scale'!$A:$B,2,FALSE),0)</f>
        <v/>
      </c>
      <c r="K71" s="2">
        <f>J71*G71</f>
        <v/>
      </c>
      <c r="L71" s="2">
        <f>IF(H71="F",0,G71)</f>
        <v/>
      </c>
    </row>
    <row r="72">
      <c r="A72" s="2" t="inlineStr">
        <is>
          <t>m240104</t>
        </is>
      </c>
      <c r="B72" s="2">
        <f>IFERROR(VLOOKUP(A72,Students!$A:$B,2,FALSE),"")</f>
        <v/>
      </c>
      <c r="C72" s="2" t="inlineStr">
        <is>
          <t>Fall 2025</t>
        </is>
      </c>
      <c r="D72" s="2" t="inlineStr">
        <is>
          <t>Semester 3</t>
        </is>
      </c>
      <c r="E72" s="2" t="inlineStr">
        <is>
          <t>CSE 210</t>
        </is>
      </c>
      <c r="F72" s="2">
        <f>IFERROR(VLOOKUP(E72,Courses!$A:$C,2,FALSE),"")</f>
        <v/>
      </c>
      <c r="G72" s="2">
        <f>IFERROR(VLOOKUP(E72,Courses!$A:$C,3,FALSE),0)</f>
        <v/>
      </c>
      <c r="H72" s="2" t="inlineStr">
        <is>
          <t>A</t>
        </is>
      </c>
      <c r="I72" s="2" t="n">
        <v>100</v>
      </c>
      <c r="J72" s="2">
        <f>IFERROR(VLOOKUP(H72,'Grade Scale'!$A:$B,2,FALSE),0)</f>
        <v/>
      </c>
      <c r="K72" s="2">
        <f>J72*G72</f>
        <v/>
      </c>
      <c r="L72" s="2">
        <f>IF(H72="F",0,G72)</f>
        <v/>
      </c>
    </row>
    <row r="73">
      <c r="A73" s="2" t="inlineStr">
        <is>
          <t>m240104</t>
        </is>
      </c>
      <c r="B73" s="2">
        <f>IFERROR(VLOOKUP(A73,Students!$A:$B,2,FALSE),"")</f>
        <v/>
      </c>
      <c r="C73" s="2" t="inlineStr">
        <is>
          <t>Fall 2025</t>
        </is>
      </c>
      <c r="D73" s="2" t="inlineStr">
        <is>
          <t>Semester 3</t>
        </is>
      </c>
      <c r="E73" s="2" t="inlineStr">
        <is>
          <t>CSE 220</t>
        </is>
      </c>
      <c r="F73" s="2">
        <f>IFERROR(VLOOKUP(E73,Courses!$A:$C,2,FALSE),"")</f>
        <v/>
      </c>
      <c r="G73" s="2">
        <f>IFERROR(VLOOKUP(E73,Courses!$A:$C,3,FALSE),0)</f>
        <v/>
      </c>
      <c r="H73" s="2" t="inlineStr">
        <is>
          <t>C+</t>
        </is>
      </c>
      <c r="I73" s="2" t="n">
        <v>78</v>
      </c>
      <c r="J73" s="2">
        <f>IFERROR(VLOOKUP(H73,'Grade Scale'!$A:$B,2,FALSE),0)</f>
        <v/>
      </c>
      <c r="K73" s="2">
        <f>J73*G73</f>
        <v/>
      </c>
      <c r="L73" s="2">
        <f>IF(H73="F",0,G73)</f>
        <v/>
      </c>
    </row>
    <row r="74">
      <c r="A74" s="2" t="inlineStr">
        <is>
          <t>m240104</t>
        </is>
      </c>
      <c r="B74" s="2">
        <f>IFERROR(VLOOKUP(A74,Students!$A:$B,2,FALSE),"")</f>
        <v/>
      </c>
      <c r="C74" s="2" t="inlineStr">
        <is>
          <t>Fall 2025</t>
        </is>
      </c>
      <c r="D74" s="2" t="inlineStr">
        <is>
          <t>Semester 3</t>
        </is>
      </c>
      <c r="E74" s="2" t="inlineStr">
        <is>
          <t>CSE 230</t>
        </is>
      </c>
      <c r="F74" s="2">
        <f>IFERROR(VLOOKUP(E74,Courses!$A:$C,2,FALSE),"")</f>
        <v/>
      </c>
      <c r="G74" s="2">
        <f>IFERROR(VLOOKUP(E74,Courses!$A:$C,3,FALSE),0)</f>
        <v/>
      </c>
      <c r="H74" s="2" t="inlineStr">
        <is>
          <t>C+</t>
        </is>
      </c>
      <c r="I74" s="2" t="n">
        <v>79</v>
      </c>
      <c r="J74" s="2">
        <f>IFERROR(VLOOKUP(H74,'Grade Scale'!$A:$B,2,FALSE),0)</f>
        <v/>
      </c>
      <c r="K74" s="2">
        <f>J74*G74</f>
        <v/>
      </c>
      <c r="L74" s="2">
        <f>IF(H74="F",0,G74)</f>
        <v/>
      </c>
    </row>
    <row r="75">
      <c r="A75" s="2" t="inlineStr">
        <is>
          <t>m240104</t>
        </is>
      </c>
      <c r="B75" s="2">
        <f>IFERROR(VLOOKUP(A75,Students!$A:$B,2,FALSE),"")</f>
        <v/>
      </c>
      <c r="C75" s="2" t="inlineStr">
        <is>
          <t>Fall 2025</t>
        </is>
      </c>
      <c r="D75" s="2" t="inlineStr">
        <is>
          <t>Semester 3</t>
        </is>
      </c>
      <c r="E75" s="2" t="inlineStr">
        <is>
          <t>CSE 240</t>
        </is>
      </c>
      <c r="F75" s="2">
        <f>IFERROR(VLOOKUP(E75,Courses!$A:$C,2,FALSE),"")</f>
        <v/>
      </c>
      <c r="G75" s="2">
        <f>IFERROR(VLOOKUP(E75,Courses!$A:$C,3,FALSE),0)</f>
        <v/>
      </c>
      <c r="H75" s="2" t="inlineStr">
        <is>
          <t>B</t>
        </is>
      </c>
      <c r="I75" s="2" t="n">
        <v>84</v>
      </c>
      <c r="J75" s="2">
        <f>IFERROR(VLOOKUP(H75,'Grade Scale'!$A:$B,2,FALSE),0)</f>
        <v/>
      </c>
      <c r="K75" s="2">
        <f>J75*G75</f>
        <v/>
      </c>
      <c r="L75" s="2">
        <f>IF(H75="F",0,G75)</f>
        <v/>
      </c>
    </row>
    <row r="76">
      <c r="A76" s="2" t="inlineStr">
        <is>
          <t>m240104</t>
        </is>
      </c>
      <c r="B76" s="2">
        <f>IFERROR(VLOOKUP(A76,Students!$A:$B,2,FALSE),"")</f>
        <v/>
      </c>
      <c r="C76" s="2" t="inlineStr">
        <is>
          <t>Fall 2025</t>
        </is>
      </c>
      <c r="D76" s="2" t="inlineStr">
        <is>
          <t>Semester 3</t>
        </is>
      </c>
      <c r="E76" s="2" t="inlineStr">
        <is>
          <t>STA 201</t>
        </is>
      </c>
      <c r="F76" s="2">
        <f>IFERROR(VLOOKUP(E76,Courses!$A:$C,2,FALSE),"")</f>
        <v/>
      </c>
      <c r="G76" s="2">
        <f>IFERROR(VLOOKUP(E76,Courses!$A:$C,3,FALSE),0)</f>
        <v/>
      </c>
      <c r="H76" s="2" t="inlineStr">
        <is>
          <t>B</t>
        </is>
      </c>
      <c r="I76" s="2" t="n">
        <v>84</v>
      </c>
      <c r="J76" s="2">
        <f>IFERROR(VLOOKUP(H76,'Grade Scale'!$A:$B,2,FALSE),0)</f>
        <v/>
      </c>
      <c r="K76" s="2">
        <f>J76*G76</f>
        <v/>
      </c>
      <c r="L76" s="2">
        <f>IF(H76="F",0,G76)</f>
        <v/>
      </c>
    </row>
    <row r="77">
      <c r="A77" s="2" t="inlineStr">
        <is>
          <t>m240104</t>
        </is>
      </c>
      <c r="B77" s="2">
        <f>IFERROR(VLOOKUP(A77,Students!$A:$B,2,FALSE),"")</f>
        <v/>
      </c>
      <c r="C77" s="2" t="inlineStr">
        <is>
          <t>Spring 2026</t>
        </is>
      </c>
      <c r="D77" s="2" t="inlineStr">
        <is>
          <t>Semester 4</t>
        </is>
      </c>
      <c r="E77" s="2" t="inlineStr">
        <is>
          <t>CSE 250</t>
        </is>
      </c>
      <c r="F77" s="2">
        <f>IFERROR(VLOOKUP(E77,Courses!$A:$C,2,FALSE),"")</f>
        <v/>
      </c>
      <c r="G77" s="2">
        <f>IFERROR(VLOOKUP(E77,Courses!$A:$C,3,FALSE),0)</f>
        <v/>
      </c>
      <c r="H77" s="2" t="inlineStr">
        <is>
          <t>B-</t>
        </is>
      </c>
      <c r="I77" s="2" t="n">
        <v>81</v>
      </c>
      <c r="J77" s="2">
        <f>IFERROR(VLOOKUP(H77,'Grade Scale'!$A:$B,2,FALSE),0)</f>
        <v/>
      </c>
      <c r="K77" s="2">
        <f>J77*G77</f>
        <v/>
      </c>
      <c r="L77" s="2">
        <f>IF(H77="F",0,G77)</f>
        <v/>
      </c>
    </row>
    <row r="78">
      <c r="A78" s="2" t="inlineStr">
        <is>
          <t>m240104</t>
        </is>
      </c>
      <c r="B78" s="2">
        <f>IFERROR(VLOOKUP(A78,Students!$A:$B,2,FALSE),"")</f>
        <v/>
      </c>
      <c r="C78" s="2" t="inlineStr">
        <is>
          <t>Spring 2026</t>
        </is>
      </c>
      <c r="D78" s="2" t="inlineStr">
        <is>
          <t>Semester 4</t>
        </is>
      </c>
      <c r="E78" s="2" t="inlineStr">
        <is>
          <t>CSE 260</t>
        </is>
      </c>
      <c r="F78" s="2">
        <f>IFERROR(VLOOKUP(E78,Courses!$A:$C,2,FALSE),"")</f>
        <v/>
      </c>
      <c r="G78" s="2">
        <f>IFERROR(VLOOKUP(E78,Courses!$A:$C,3,FALSE),0)</f>
        <v/>
      </c>
      <c r="H78" s="2" t="inlineStr">
        <is>
          <t>B+</t>
        </is>
      </c>
      <c r="I78" s="2" t="n">
        <v>88</v>
      </c>
      <c r="J78" s="2">
        <f>IFERROR(VLOOKUP(H78,'Grade Scale'!$A:$B,2,FALSE),0)</f>
        <v/>
      </c>
      <c r="K78" s="2">
        <f>J78*G78</f>
        <v/>
      </c>
      <c r="L78" s="2">
        <f>IF(H78="F",0,G78)</f>
        <v/>
      </c>
    </row>
    <row r="79">
      <c r="A79" s="2" t="inlineStr">
        <is>
          <t>m240104</t>
        </is>
      </c>
      <c r="B79" s="2">
        <f>IFERROR(VLOOKUP(A79,Students!$A:$B,2,FALSE),"")</f>
        <v/>
      </c>
      <c r="C79" s="2" t="inlineStr">
        <is>
          <t>Spring 2026</t>
        </is>
      </c>
      <c r="D79" s="2" t="inlineStr">
        <is>
          <t>Semester 4</t>
        </is>
      </c>
      <c r="E79" s="2" t="inlineStr">
        <is>
          <t>CSE 270</t>
        </is>
      </c>
      <c r="F79" s="2">
        <f>IFERROR(VLOOKUP(E79,Courses!$A:$C,2,FALSE),"")</f>
        <v/>
      </c>
      <c r="G79" s="2">
        <f>IFERROR(VLOOKUP(E79,Courses!$A:$C,3,FALSE),0)</f>
        <v/>
      </c>
      <c r="H79" s="2" t="inlineStr">
        <is>
          <t>C+</t>
        </is>
      </c>
      <c r="I79" s="2" t="n">
        <v>79</v>
      </c>
      <c r="J79" s="2">
        <f>IFERROR(VLOOKUP(H79,'Grade Scale'!$A:$B,2,FALSE),0)</f>
        <v/>
      </c>
      <c r="K79" s="2">
        <f>J79*G79</f>
        <v/>
      </c>
      <c r="L79" s="2">
        <f>IF(H79="F",0,G79)</f>
        <v/>
      </c>
    </row>
    <row r="80">
      <c r="A80" s="2" t="inlineStr">
        <is>
          <t>m240104</t>
        </is>
      </c>
      <c r="B80" s="2">
        <f>IFERROR(VLOOKUP(A80,Students!$A:$B,2,FALSE),"")</f>
        <v/>
      </c>
      <c r="C80" s="2" t="inlineStr">
        <is>
          <t>Spring 2026</t>
        </is>
      </c>
      <c r="D80" s="2" t="inlineStr">
        <is>
          <t>Semester 4</t>
        </is>
      </c>
      <c r="E80" s="2" t="inlineStr">
        <is>
          <t>CSE 280</t>
        </is>
      </c>
      <c r="F80" s="2">
        <f>IFERROR(VLOOKUP(E80,Courses!$A:$C,2,FALSE),"")</f>
        <v/>
      </c>
      <c r="G80" s="2">
        <f>IFERROR(VLOOKUP(E80,Courses!$A:$C,3,FALSE),0)</f>
        <v/>
      </c>
      <c r="H80" s="2" t="inlineStr">
        <is>
          <t>C</t>
        </is>
      </c>
      <c r="I80" s="2" t="n">
        <v>74</v>
      </c>
      <c r="J80" s="2">
        <f>IFERROR(VLOOKUP(H80,'Grade Scale'!$A:$B,2,FALSE),0)</f>
        <v/>
      </c>
      <c r="K80" s="2">
        <f>J80*G80</f>
        <v/>
      </c>
      <c r="L80" s="2">
        <f>IF(H80="F",0,G80)</f>
        <v/>
      </c>
    </row>
    <row r="81">
      <c r="A81" s="2" t="inlineStr">
        <is>
          <t>m240104</t>
        </is>
      </c>
      <c r="B81" s="2">
        <f>IFERROR(VLOOKUP(A81,Students!$A:$B,2,FALSE),"")</f>
        <v/>
      </c>
      <c r="C81" s="2" t="inlineStr">
        <is>
          <t>Spring 2026</t>
        </is>
      </c>
      <c r="D81" s="2" t="inlineStr">
        <is>
          <t>Semester 4</t>
        </is>
      </c>
      <c r="E81" s="2" t="inlineStr">
        <is>
          <t>CSE 290</t>
        </is>
      </c>
      <c r="F81" s="2">
        <f>IFERROR(VLOOKUP(E81,Courses!$A:$C,2,FALSE),"")</f>
        <v/>
      </c>
      <c r="G81" s="2">
        <f>IFERROR(VLOOKUP(E81,Courses!$A:$C,3,FALSE),0)</f>
        <v/>
      </c>
      <c r="H81" s="2" t="inlineStr">
        <is>
          <t>B+</t>
        </is>
      </c>
      <c r="I81" s="2" t="n">
        <v>88</v>
      </c>
      <c r="J81" s="2">
        <f>IFERROR(VLOOKUP(H81,'Grade Scale'!$A:$B,2,FALSE),0)</f>
        <v/>
      </c>
      <c r="K81" s="2">
        <f>J81*G81</f>
        <v/>
      </c>
      <c r="L81" s="2">
        <f>IF(H81="F",0,G81)</f>
        <v/>
      </c>
    </row>
    <row r="82">
      <c r="A82" s="2" t="inlineStr">
        <is>
          <t>m240105</t>
        </is>
      </c>
      <c r="B82" s="2">
        <f>IFERROR(VLOOKUP(A82,Students!$A:$B,2,FALSE),"")</f>
        <v/>
      </c>
      <c r="C82" s="2" t="inlineStr">
        <is>
          <t>Fall 2024</t>
        </is>
      </c>
      <c r="D82" s="2" t="inlineStr">
        <is>
          <t>Semester 1</t>
        </is>
      </c>
      <c r="E82" s="2" t="inlineStr">
        <is>
          <t>DSC 501</t>
        </is>
      </c>
      <c r="F82" s="2">
        <f>IFERROR(VLOOKUP(E82,Courses!$A:$C,2,FALSE),"")</f>
        <v/>
      </c>
      <c r="G82" s="2">
        <f>IFERROR(VLOOKUP(E82,Courses!$A:$C,3,FALSE),0)</f>
        <v/>
      </c>
      <c r="H82" s="2" t="inlineStr">
        <is>
          <t>B+</t>
        </is>
      </c>
      <c r="I82" s="2" t="n">
        <v>89</v>
      </c>
      <c r="J82" s="2">
        <f>IFERROR(VLOOKUP(H82,'Grade Scale'!$A:$B,2,FALSE),0)</f>
        <v/>
      </c>
      <c r="K82" s="2">
        <f>J82*G82</f>
        <v/>
      </c>
      <c r="L82" s="2">
        <f>IF(H82="F",0,G82)</f>
        <v/>
      </c>
    </row>
    <row r="83">
      <c r="A83" s="2" t="inlineStr">
        <is>
          <t>m240105</t>
        </is>
      </c>
      <c r="B83" s="2">
        <f>IFERROR(VLOOKUP(A83,Students!$A:$B,2,FALSE),"")</f>
        <v/>
      </c>
      <c r="C83" s="2" t="inlineStr">
        <is>
          <t>Fall 2024</t>
        </is>
      </c>
      <c r="D83" s="2" t="inlineStr">
        <is>
          <t>Semester 1</t>
        </is>
      </c>
      <c r="E83" s="2" t="inlineStr">
        <is>
          <t>DSC 510</t>
        </is>
      </c>
      <c r="F83" s="2">
        <f>IFERROR(VLOOKUP(E83,Courses!$A:$C,2,FALSE),"")</f>
        <v/>
      </c>
      <c r="G83" s="2">
        <f>IFERROR(VLOOKUP(E83,Courses!$A:$C,3,FALSE),0)</f>
        <v/>
      </c>
      <c r="H83" s="2" t="inlineStr">
        <is>
          <t>A</t>
        </is>
      </c>
      <c r="I83" s="2" t="n">
        <v>96</v>
      </c>
      <c r="J83" s="2">
        <f>IFERROR(VLOOKUP(H83,'Grade Scale'!$A:$B,2,FALSE),0)</f>
        <v/>
      </c>
      <c r="K83" s="2">
        <f>J83*G83</f>
        <v/>
      </c>
      <c r="L83" s="2">
        <f>IF(H83="F",0,G83)</f>
        <v/>
      </c>
    </row>
    <row r="84">
      <c r="A84" s="2" t="inlineStr">
        <is>
          <t>m240105</t>
        </is>
      </c>
      <c r="B84" s="2">
        <f>IFERROR(VLOOKUP(A84,Students!$A:$B,2,FALSE),"")</f>
        <v/>
      </c>
      <c r="C84" s="2" t="inlineStr">
        <is>
          <t>Fall 2024</t>
        </is>
      </c>
      <c r="D84" s="2" t="inlineStr">
        <is>
          <t>Semester 1</t>
        </is>
      </c>
      <c r="E84" s="2" t="inlineStr">
        <is>
          <t>DSC 520</t>
        </is>
      </c>
      <c r="F84" s="2">
        <f>IFERROR(VLOOKUP(E84,Courses!$A:$C,2,FALSE),"")</f>
        <v/>
      </c>
      <c r="G84" s="2">
        <f>IFERROR(VLOOKUP(E84,Courses!$A:$C,3,FALSE),0)</f>
        <v/>
      </c>
      <c r="H84" s="2" t="inlineStr">
        <is>
          <t>A</t>
        </is>
      </c>
      <c r="I84" s="2" t="n">
        <v>94</v>
      </c>
      <c r="J84" s="2">
        <f>IFERROR(VLOOKUP(H84,'Grade Scale'!$A:$B,2,FALSE),0)</f>
        <v/>
      </c>
      <c r="K84" s="2">
        <f>J84*G84</f>
        <v/>
      </c>
      <c r="L84" s="2">
        <f>IF(H84="F",0,G84)</f>
        <v/>
      </c>
    </row>
    <row r="85">
      <c r="A85" s="2" t="inlineStr">
        <is>
          <t>m240105</t>
        </is>
      </c>
      <c r="B85" s="2">
        <f>IFERROR(VLOOKUP(A85,Students!$A:$B,2,FALSE),"")</f>
        <v/>
      </c>
      <c r="C85" s="2" t="inlineStr">
        <is>
          <t>Fall 2024</t>
        </is>
      </c>
      <c r="D85" s="2" t="inlineStr">
        <is>
          <t>Semester 1</t>
        </is>
      </c>
      <c r="E85" s="2" t="inlineStr">
        <is>
          <t>DSC 530</t>
        </is>
      </c>
      <c r="F85" s="2">
        <f>IFERROR(VLOOKUP(E85,Courses!$A:$C,2,FALSE),"")</f>
        <v/>
      </c>
      <c r="G85" s="2">
        <f>IFERROR(VLOOKUP(E85,Courses!$A:$C,3,FALSE),0)</f>
        <v/>
      </c>
      <c r="H85" s="2" t="inlineStr">
        <is>
          <t>A</t>
        </is>
      </c>
      <c r="I85" s="2" t="n">
        <v>96</v>
      </c>
      <c r="J85" s="2">
        <f>IFERROR(VLOOKUP(H85,'Grade Scale'!$A:$B,2,FALSE),0)</f>
        <v/>
      </c>
      <c r="K85" s="2">
        <f>J85*G85</f>
        <v/>
      </c>
      <c r="L85" s="2">
        <f>IF(H85="F",0,G85)</f>
        <v/>
      </c>
    </row>
    <row r="86">
      <c r="A86" s="2" t="inlineStr">
        <is>
          <t>m240105</t>
        </is>
      </c>
      <c r="B86" s="2">
        <f>IFERROR(VLOOKUP(A86,Students!$A:$B,2,FALSE),"")</f>
        <v/>
      </c>
      <c r="C86" s="2" t="inlineStr">
        <is>
          <t>Fall 2024</t>
        </is>
      </c>
      <c r="D86" s="2" t="inlineStr">
        <is>
          <t>Semester 1</t>
        </is>
      </c>
      <c r="E86" s="2" t="inlineStr">
        <is>
          <t>DSC 540</t>
        </is>
      </c>
      <c r="F86" s="2">
        <f>IFERROR(VLOOKUP(E86,Courses!$A:$C,2,FALSE),"")</f>
        <v/>
      </c>
      <c r="G86" s="2">
        <f>IFERROR(VLOOKUP(E86,Courses!$A:$C,3,FALSE),0)</f>
        <v/>
      </c>
      <c r="H86" s="2" t="inlineStr">
        <is>
          <t>B+</t>
        </is>
      </c>
      <c r="I86" s="2" t="n">
        <v>89</v>
      </c>
      <c r="J86" s="2">
        <f>IFERROR(VLOOKUP(H86,'Grade Scale'!$A:$B,2,FALSE),0)</f>
        <v/>
      </c>
      <c r="K86" s="2">
        <f>J86*G86</f>
        <v/>
      </c>
      <c r="L86" s="2">
        <f>IF(H86="F",0,G86)</f>
        <v/>
      </c>
    </row>
    <row r="87">
      <c r="A87" s="2" t="inlineStr">
        <is>
          <t>m240105</t>
        </is>
      </c>
      <c r="B87" s="2">
        <f>IFERROR(VLOOKUP(A87,Students!$A:$B,2,FALSE),"")</f>
        <v/>
      </c>
      <c r="C87" s="2" t="inlineStr">
        <is>
          <t>Spring 2025</t>
        </is>
      </c>
      <c r="D87" s="2" t="inlineStr">
        <is>
          <t>Semester 2</t>
        </is>
      </c>
      <c r="E87" s="2" t="inlineStr">
        <is>
          <t>DSC 550</t>
        </is>
      </c>
      <c r="F87" s="2">
        <f>IFERROR(VLOOKUP(E87,Courses!$A:$C,2,FALSE),"")</f>
        <v/>
      </c>
      <c r="G87" s="2">
        <f>IFERROR(VLOOKUP(E87,Courses!$A:$C,3,FALSE),0)</f>
        <v/>
      </c>
      <c r="H87" s="2" t="inlineStr">
        <is>
          <t>B+</t>
        </is>
      </c>
      <c r="I87" s="2" t="n">
        <v>87</v>
      </c>
      <c r="J87" s="2">
        <f>IFERROR(VLOOKUP(H87,'Grade Scale'!$A:$B,2,FALSE),0)</f>
        <v/>
      </c>
      <c r="K87" s="2">
        <f>J87*G87</f>
        <v/>
      </c>
      <c r="L87" s="2">
        <f>IF(H87="F",0,G87)</f>
        <v/>
      </c>
    </row>
    <row r="88">
      <c r="A88" s="2" t="inlineStr">
        <is>
          <t>m240105</t>
        </is>
      </c>
      <c r="B88" s="2">
        <f>IFERROR(VLOOKUP(A88,Students!$A:$B,2,FALSE),"")</f>
        <v/>
      </c>
      <c r="C88" s="2" t="inlineStr">
        <is>
          <t>Spring 2025</t>
        </is>
      </c>
      <c r="D88" s="2" t="inlineStr">
        <is>
          <t>Semester 2</t>
        </is>
      </c>
      <c r="E88" s="2" t="inlineStr">
        <is>
          <t>DSC 560</t>
        </is>
      </c>
      <c r="F88" s="2">
        <f>IFERROR(VLOOKUP(E88,Courses!$A:$C,2,FALSE),"")</f>
        <v/>
      </c>
      <c r="G88" s="2">
        <f>IFERROR(VLOOKUP(E88,Courses!$A:$C,3,FALSE),0)</f>
        <v/>
      </c>
      <c r="H88" s="2" t="inlineStr">
        <is>
          <t>B+</t>
        </is>
      </c>
      <c r="I88" s="2" t="n">
        <v>87</v>
      </c>
      <c r="J88" s="2">
        <f>IFERROR(VLOOKUP(H88,'Grade Scale'!$A:$B,2,FALSE),0)</f>
        <v/>
      </c>
      <c r="K88" s="2">
        <f>J88*G88</f>
        <v/>
      </c>
      <c r="L88" s="2">
        <f>IF(H88="F",0,G88)</f>
        <v/>
      </c>
    </row>
    <row r="89">
      <c r="A89" s="2" t="inlineStr">
        <is>
          <t>m240105</t>
        </is>
      </c>
      <c r="B89" s="2">
        <f>IFERROR(VLOOKUP(A89,Students!$A:$B,2,FALSE),"")</f>
        <v/>
      </c>
      <c r="C89" s="2" t="inlineStr">
        <is>
          <t>Spring 2025</t>
        </is>
      </c>
      <c r="D89" s="2" t="inlineStr">
        <is>
          <t>Semester 2</t>
        </is>
      </c>
      <c r="E89" s="2" t="inlineStr">
        <is>
          <t>DSC 570</t>
        </is>
      </c>
      <c r="F89" s="2">
        <f>IFERROR(VLOOKUP(E89,Courses!$A:$C,2,FALSE),"")</f>
        <v/>
      </c>
      <c r="G89" s="2">
        <f>IFERROR(VLOOKUP(E89,Courses!$A:$C,3,FALSE),0)</f>
        <v/>
      </c>
      <c r="H89" s="2" t="inlineStr">
        <is>
          <t>A</t>
        </is>
      </c>
      <c r="I89" s="2" t="n">
        <v>96</v>
      </c>
      <c r="J89" s="2">
        <f>IFERROR(VLOOKUP(H89,'Grade Scale'!$A:$B,2,FALSE),0)</f>
        <v/>
      </c>
      <c r="K89" s="2">
        <f>J89*G89</f>
        <v/>
      </c>
      <c r="L89" s="2">
        <f>IF(H89="F",0,G89)</f>
        <v/>
      </c>
    </row>
    <row r="90">
      <c r="A90" s="2" t="inlineStr">
        <is>
          <t>m240105</t>
        </is>
      </c>
      <c r="B90" s="2">
        <f>IFERROR(VLOOKUP(A90,Students!$A:$B,2,FALSE),"")</f>
        <v/>
      </c>
      <c r="C90" s="2" t="inlineStr">
        <is>
          <t>Spring 2025</t>
        </is>
      </c>
      <c r="D90" s="2" t="inlineStr">
        <is>
          <t>Semester 2</t>
        </is>
      </c>
      <c r="E90" s="2" t="inlineStr">
        <is>
          <t>DSC 580</t>
        </is>
      </c>
      <c r="F90" s="2">
        <f>IFERROR(VLOOKUP(E90,Courses!$A:$C,2,FALSE),"")</f>
        <v/>
      </c>
      <c r="G90" s="2">
        <f>IFERROR(VLOOKUP(E90,Courses!$A:$C,3,FALSE),0)</f>
        <v/>
      </c>
      <c r="H90" s="2" t="inlineStr">
        <is>
          <t>B-</t>
        </is>
      </c>
      <c r="I90" s="2" t="n">
        <v>80</v>
      </c>
      <c r="J90" s="2">
        <f>IFERROR(VLOOKUP(H90,'Grade Scale'!$A:$B,2,FALSE),0)</f>
        <v/>
      </c>
      <c r="K90" s="2">
        <f>J90*G90</f>
        <v/>
      </c>
      <c r="L90" s="2">
        <f>IF(H90="F",0,G90)</f>
        <v/>
      </c>
    </row>
    <row r="91">
      <c r="A91" s="2" t="inlineStr">
        <is>
          <t>m240105</t>
        </is>
      </c>
      <c r="B91" s="2">
        <f>IFERROR(VLOOKUP(A91,Students!$A:$B,2,FALSE),"")</f>
        <v/>
      </c>
      <c r="C91" s="2" t="inlineStr">
        <is>
          <t>Spring 2025</t>
        </is>
      </c>
      <c r="D91" s="2" t="inlineStr">
        <is>
          <t>Semester 2</t>
        </is>
      </c>
      <c r="E91" s="2" t="inlineStr">
        <is>
          <t>DSC 590</t>
        </is>
      </c>
      <c r="F91" s="2">
        <f>IFERROR(VLOOKUP(E91,Courses!$A:$C,2,FALSE),"")</f>
        <v/>
      </c>
      <c r="G91" s="2">
        <f>IFERROR(VLOOKUP(E91,Courses!$A:$C,3,FALSE),0)</f>
        <v/>
      </c>
      <c r="H91" s="2" t="inlineStr">
        <is>
          <t>A</t>
        </is>
      </c>
      <c r="I91" s="2" t="n">
        <v>95</v>
      </c>
      <c r="J91" s="2">
        <f>IFERROR(VLOOKUP(H91,'Grade Scale'!$A:$B,2,FALSE),0)</f>
        <v/>
      </c>
      <c r="K91" s="2">
        <f>J91*G91</f>
        <v/>
      </c>
      <c r="L91" s="2">
        <f>IF(H91="F",0,G91)</f>
        <v/>
      </c>
    </row>
    <row r="92">
      <c r="A92" s="2" t="inlineStr">
        <is>
          <t>m240105</t>
        </is>
      </c>
      <c r="B92" s="2">
        <f>IFERROR(VLOOKUP(A92,Students!$A:$B,2,FALSE),"")</f>
        <v/>
      </c>
      <c r="C92" s="2" t="inlineStr">
        <is>
          <t>Fall 2025</t>
        </is>
      </c>
      <c r="D92" s="2" t="inlineStr">
        <is>
          <t>Semester 3</t>
        </is>
      </c>
      <c r="E92" s="2" t="inlineStr">
        <is>
          <t>DSC 610</t>
        </is>
      </c>
      <c r="F92" s="2">
        <f>IFERROR(VLOOKUP(E92,Courses!$A:$C,2,FALSE),"")</f>
        <v/>
      </c>
      <c r="G92" s="2">
        <f>IFERROR(VLOOKUP(E92,Courses!$A:$C,3,FALSE),0)</f>
        <v/>
      </c>
      <c r="H92" s="2" t="inlineStr">
        <is>
          <t>A</t>
        </is>
      </c>
      <c r="I92" s="2" t="n">
        <v>94</v>
      </c>
      <c r="J92" s="2">
        <f>IFERROR(VLOOKUP(H92,'Grade Scale'!$A:$B,2,FALSE),0)</f>
        <v/>
      </c>
      <c r="K92" s="2">
        <f>J92*G92</f>
        <v/>
      </c>
      <c r="L92" s="2">
        <f>IF(H92="F",0,G92)</f>
        <v/>
      </c>
    </row>
    <row r="93">
      <c r="A93" s="2" t="inlineStr">
        <is>
          <t>m240105</t>
        </is>
      </c>
      <c r="B93" s="2">
        <f>IFERROR(VLOOKUP(A93,Students!$A:$B,2,FALSE),"")</f>
        <v/>
      </c>
      <c r="C93" s="2" t="inlineStr">
        <is>
          <t>Fall 2025</t>
        </is>
      </c>
      <c r="D93" s="2" t="inlineStr">
        <is>
          <t>Semester 3</t>
        </is>
      </c>
      <c r="E93" s="2" t="inlineStr">
        <is>
          <t>DSC 620</t>
        </is>
      </c>
      <c r="F93" s="2">
        <f>IFERROR(VLOOKUP(E93,Courses!$A:$C,2,FALSE),"")</f>
        <v/>
      </c>
      <c r="G93" s="2">
        <f>IFERROR(VLOOKUP(E93,Courses!$A:$C,3,FALSE),0)</f>
        <v/>
      </c>
      <c r="H93" s="2" t="inlineStr">
        <is>
          <t>A</t>
        </is>
      </c>
      <c r="I93" s="2" t="n">
        <v>100</v>
      </c>
      <c r="J93" s="2">
        <f>IFERROR(VLOOKUP(H93,'Grade Scale'!$A:$B,2,FALSE),0)</f>
        <v/>
      </c>
      <c r="K93" s="2">
        <f>J93*G93</f>
        <v/>
      </c>
      <c r="L93" s="2">
        <f>IF(H93="F",0,G93)</f>
        <v/>
      </c>
    </row>
    <row r="94">
      <c r="A94" s="2" t="inlineStr">
        <is>
          <t>m240105</t>
        </is>
      </c>
      <c r="B94" s="2">
        <f>IFERROR(VLOOKUP(A94,Students!$A:$B,2,FALSE),"")</f>
        <v/>
      </c>
      <c r="C94" s="2" t="inlineStr">
        <is>
          <t>Fall 2025</t>
        </is>
      </c>
      <c r="D94" s="2" t="inlineStr">
        <is>
          <t>Semester 3</t>
        </is>
      </c>
      <c r="E94" s="2" t="inlineStr">
        <is>
          <t>DSC 630</t>
        </is>
      </c>
      <c r="F94" s="2">
        <f>IFERROR(VLOOKUP(E94,Courses!$A:$C,2,FALSE),"")</f>
        <v/>
      </c>
      <c r="G94" s="2">
        <f>IFERROR(VLOOKUP(E94,Courses!$A:$C,3,FALSE),0)</f>
        <v/>
      </c>
      <c r="H94" s="2" t="inlineStr">
        <is>
          <t>B</t>
        </is>
      </c>
      <c r="I94" s="2" t="n">
        <v>83</v>
      </c>
      <c r="J94" s="2">
        <f>IFERROR(VLOOKUP(H94,'Grade Scale'!$A:$B,2,FALSE),0)</f>
        <v/>
      </c>
      <c r="K94" s="2">
        <f>J94*G94</f>
        <v/>
      </c>
      <c r="L94" s="2">
        <f>IF(H94="F",0,G94)</f>
        <v/>
      </c>
    </row>
    <row r="95">
      <c r="A95" s="2" t="inlineStr">
        <is>
          <t>m240105</t>
        </is>
      </c>
      <c r="B95" s="2">
        <f>IFERROR(VLOOKUP(A95,Students!$A:$B,2,FALSE),"")</f>
        <v/>
      </c>
      <c r="C95" s="2" t="inlineStr">
        <is>
          <t>Fall 2025</t>
        </is>
      </c>
      <c r="D95" s="2" t="inlineStr">
        <is>
          <t>Semester 3</t>
        </is>
      </c>
      <c r="E95" s="2" t="inlineStr">
        <is>
          <t>DSC 640</t>
        </is>
      </c>
      <c r="F95" s="2">
        <f>IFERROR(VLOOKUP(E95,Courses!$A:$C,2,FALSE),"")</f>
        <v/>
      </c>
      <c r="G95" s="2">
        <f>IFERROR(VLOOKUP(E95,Courses!$A:$C,3,FALSE),0)</f>
        <v/>
      </c>
      <c r="H95" s="2" t="inlineStr">
        <is>
          <t>A</t>
        </is>
      </c>
      <c r="I95" s="2" t="n">
        <v>93</v>
      </c>
      <c r="J95" s="2">
        <f>IFERROR(VLOOKUP(H95,'Grade Scale'!$A:$B,2,FALSE),0)</f>
        <v/>
      </c>
      <c r="K95" s="2">
        <f>J95*G95</f>
        <v/>
      </c>
      <c r="L95" s="2">
        <f>IF(H95="F",0,G95)</f>
        <v/>
      </c>
    </row>
    <row r="96">
      <c r="A96" s="2" t="inlineStr">
        <is>
          <t>m240105</t>
        </is>
      </c>
      <c r="B96" s="2">
        <f>IFERROR(VLOOKUP(A96,Students!$A:$B,2,FALSE),"")</f>
        <v/>
      </c>
      <c r="C96" s="2" t="inlineStr">
        <is>
          <t>Fall 2025</t>
        </is>
      </c>
      <c r="D96" s="2" t="inlineStr">
        <is>
          <t>Semester 3</t>
        </is>
      </c>
      <c r="E96" s="2" t="inlineStr">
        <is>
          <t>DSC 690</t>
        </is>
      </c>
      <c r="F96" s="2">
        <f>IFERROR(VLOOKUP(E96,Courses!$A:$C,2,FALSE),"")</f>
        <v/>
      </c>
      <c r="G96" s="2">
        <f>IFERROR(VLOOKUP(E96,Courses!$A:$C,3,FALSE),0)</f>
        <v/>
      </c>
      <c r="H96" s="2" t="inlineStr">
        <is>
          <t>A</t>
        </is>
      </c>
      <c r="I96" s="2" t="n">
        <v>97</v>
      </c>
      <c r="J96" s="2">
        <f>IFERROR(VLOOKUP(H96,'Grade Scale'!$A:$B,2,FALSE),0)</f>
        <v/>
      </c>
      <c r="K96" s="2">
        <f>J96*G96</f>
        <v/>
      </c>
      <c r="L96" s="2">
        <f>IF(H96="F",0,G96)</f>
        <v/>
      </c>
    </row>
    <row r="97">
      <c r="A97" s="2" t="inlineStr">
        <is>
          <t>m240105</t>
        </is>
      </c>
      <c r="B97" s="2">
        <f>IFERROR(VLOOKUP(A97,Students!$A:$B,2,FALSE),"")</f>
        <v/>
      </c>
      <c r="C97" s="2" t="inlineStr">
        <is>
          <t>Spring 2026</t>
        </is>
      </c>
      <c r="D97" s="2" t="inlineStr">
        <is>
          <t>Semester 4</t>
        </is>
      </c>
      <c r="E97" s="2" t="inlineStr">
        <is>
          <t>DSC 650</t>
        </is>
      </c>
      <c r="F97" s="2">
        <f>IFERROR(VLOOKUP(E97,Courses!$A:$C,2,FALSE),"")</f>
        <v/>
      </c>
      <c r="G97" s="2">
        <f>IFERROR(VLOOKUP(E97,Courses!$A:$C,3,FALSE),0)</f>
        <v/>
      </c>
      <c r="H97" s="2" t="inlineStr">
        <is>
          <t>B+</t>
        </is>
      </c>
      <c r="I97" s="2" t="n">
        <v>87</v>
      </c>
      <c r="J97" s="2">
        <f>IFERROR(VLOOKUP(H97,'Grade Scale'!$A:$B,2,FALSE),0)</f>
        <v/>
      </c>
      <c r="K97" s="2">
        <f>J97*G97</f>
        <v/>
      </c>
      <c r="L97" s="2">
        <f>IF(H97="F",0,G97)</f>
        <v/>
      </c>
    </row>
    <row r="98">
      <c r="A98" s="2" t="inlineStr">
        <is>
          <t>m240105</t>
        </is>
      </c>
      <c r="B98" s="2">
        <f>IFERROR(VLOOKUP(A98,Students!$A:$B,2,FALSE),"")</f>
        <v/>
      </c>
      <c r="C98" s="2" t="inlineStr">
        <is>
          <t>Spring 2026</t>
        </is>
      </c>
      <c r="D98" s="2" t="inlineStr">
        <is>
          <t>Semester 4</t>
        </is>
      </c>
      <c r="E98" s="2" t="inlineStr">
        <is>
          <t>DSC 660</t>
        </is>
      </c>
      <c r="F98" s="2">
        <f>IFERROR(VLOOKUP(E98,Courses!$A:$C,2,FALSE),"")</f>
        <v/>
      </c>
      <c r="G98" s="2">
        <f>IFERROR(VLOOKUP(E98,Courses!$A:$C,3,FALSE),0)</f>
        <v/>
      </c>
      <c r="H98" s="2" t="inlineStr">
        <is>
          <t>A</t>
        </is>
      </c>
      <c r="I98" s="2" t="n">
        <v>100</v>
      </c>
      <c r="J98" s="2">
        <f>IFERROR(VLOOKUP(H98,'Grade Scale'!$A:$B,2,FALSE),0)</f>
        <v/>
      </c>
      <c r="K98" s="2">
        <f>J98*G98</f>
        <v/>
      </c>
      <c r="L98" s="2">
        <f>IF(H98="F",0,G98)</f>
        <v/>
      </c>
    </row>
    <row r="99">
      <c r="A99" s="2" t="inlineStr">
        <is>
          <t>m240105</t>
        </is>
      </c>
      <c r="B99" s="2">
        <f>IFERROR(VLOOKUP(A99,Students!$A:$B,2,FALSE),"")</f>
        <v/>
      </c>
      <c r="C99" s="2" t="inlineStr">
        <is>
          <t>Spring 2026</t>
        </is>
      </c>
      <c r="D99" s="2" t="inlineStr">
        <is>
          <t>Semester 4</t>
        </is>
      </c>
      <c r="E99" s="2" t="inlineStr">
        <is>
          <t>DSC 670</t>
        </is>
      </c>
      <c r="F99" s="2">
        <f>IFERROR(VLOOKUP(E99,Courses!$A:$C,2,FALSE),"")</f>
        <v/>
      </c>
      <c r="G99" s="2">
        <f>IFERROR(VLOOKUP(E99,Courses!$A:$C,3,FALSE),0)</f>
        <v/>
      </c>
      <c r="H99" s="2" t="inlineStr">
        <is>
          <t>B+</t>
        </is>
      </c>
      <c r="I99" s="2" t="n">
        <v>88</v>
      </c>
      <c r="J99" s="2">
        <f>IFERROR(VLOOKUP(H99,'Grade Scale'!$A:$B,2,FALSE),0)</f>
        <v/>
      </c>
      <c r="K99" s="2">
        <f>J99*G99</f>
        <v/>
      </c>
      <c r="L99" s="2">
        <f>IF(H99="F",0,G99)</f>
        <v/>
      </c>
    </row>
    <row r="100">
      <c r="A100" s="2" t="inlineStr">
        <is>
          <t>m240105</t>
        </is>
      </c>
      <c r="B100" s="2">
        <f>IFERROR(VLOOKUP(A100,Students!$A:$B,2,FALSE),"")</f>
        <v/>
      </c>
      <c r="C100" s="2" t="inlineStr">
        <is>
          <t>Spring 2026</t>
        </is>
      </c>
      <c r="D100" s="2" t="inlineStr">
        <is>
          <t>Semester 4</t>
        </is>
      </c>
      <c r="E100" s="2" t="inlineStr">
        <is>
          <t>DSC 680</t>
        </is>
      </c>
      <c r="F100" s="2">
        <f>IFERROR(VLOOKUP(E100,Courses!$A:$C,2,FALSE),"")</f>
        <v/>
      </c>
      <c r="G100" s="2">
        <f>IFERROR(VLOOKUP(E100,Courses!$A:$C,3,FALSE),0)</f>
        <v/>
      </c>
      <c r="H100" s="2" t="inlineStr">
        <is>
          <t>B+</t>
        </is>
      </c>
      <c r="I100" s="2" t="n">
        <v>89</v>
      </c>
      <c r="J100" s="2">
        <f>IFERROR(VLOOKUP(H100,'Grade Scale'!$A:$B,2,FALSE),0)</f>
        <v/>
      </c>
      <c r="K100" s="2">
        <f>J100*G100</f>
        <v/>
      </c>
      <c r="L100" s="2">
        <f>IF(H100="F",0,G100)</f>
        <v/>
      </c>
    </row>
    <row r="101">
      <c r="A101" s="2" t="inlineStr">
        <is>
          <t>m240105</t>
        </is>
      </c>
      <c r="B101" s="2">
        <f>IFERROR(VLOOKUP(A101,Students!$A:$B,2,FALSE),"")</f>
        <v/>
      </c>
      <c r="C101" s="2" t="inlineStr">
        <is>
          <t>Spring 2026</t>
        </is>
      </c>
      <c r="D101" s="2" t="inlineStr">
        <is>
          <t>Semester 4</t>
        </is>
      </c>
      <c r="E101" s="2" t="inlineStr">
        <is>
          <t>DSC 699</t>
        </is>
      </c>
      <c r="F101" s="2">
        <f>IFERROR(VLOOKUP(E101,Courses!$A:$C,2,FALSE),"")</f>
        <v/>
      </c>
      <c r="G101" s="2">
        <f>IFERROR(VLOOKUP(E101,Courses!$A:$C,3,FALSE),0)</f>
        <v/>
      </c>
      <c r="H101" s="2" t="inlineStr">
        <is>
          <t>A</t>
        </is>
      </c>
      <c r="I101" s="2" t="n">
        <v>100</v>
      </c>
      <c r="J101" s="2">
        <f>IFERROR(VLOOKUP(H101,'Grade Scale'!$A:$B,2,FALSE),0)</f>
        <v/>
      </c>
      <c r="K101" s="2">
        <f>J101*G101</f>
        <v/>
      </c>
      <c r="L101" s="2">
        <f>IF(H101="F",0,G101)</f>
        <v/>
      </c>
    </row>
    <row r="102">
      <c r="A102" s="2" t="inlineStr">
        <is>
          <t>m240106</t>
        </is>
      </c>
      <c r="B102" s="2">
        <f>IFERROR(VLOOKUP(A102,Students!$A:$B,2,FALSE),"")</f>
        <v/>
      </c>
      <c r="C102" s="2" t="inlineStr">
        <is>
          <t>Fall 2024</t>
        </is>
      </c>
      <c r="D102" s="2" t="inlineStr">
        <is>
          <t>Semester 1</t>
        </is>
      </c>
      <c r="E102" s="2" t="inlineStr">
        <is>
          <t>ECO 101</t>
        </is>
      </c>
      <c r="F102" s="2">
        <f>IFERROR(VLOOKUP(E102,Courses!$A:$C,2,FALSE),"")</f>
        <v/>
      </c>
      <c r="G102" s="2">
        <f>IFERROR(VLOOKUP(E102,Courses!$A:$C,3,FALSE),0)</f>
        <v/>
      </c>
      <c r="H102" s="2" t="inlineStr">
        <is>
          <t>B-</t>
        </is>
      </c>
      <c r="I102" s="2" t="n">
        <v>81</v>
      </c>
      <c r="J102" s="2">
        <f>IFERROR(VLOOKUP(H102,'Grade Scale'!$A:$B,2,FALSE),0)</f>
        <v/>
      </c>
      <c r="K102" s="2">
        <f>J102*G102</f>
        <v/>
      </c>
      <c r="L102" s="2">
        <f>IF(H102="F",0,G102)</f>
        <v/>
      </c>
    </row>
    <row r="103">
      <c r="A103" s="2" t="inlineStr">
        <is>
          <t>m240106</t>
        </is>
      </c>
      <c r="B103" s="2">
        <f>IFERROR(VLOOKUP(A103,Students!$A:$B,2,FALSE),"")</f>
        <v/>
      </c>
      <c r="C103" s="2" t="inlineStr">
        <is>
          <t>Fall 2024</t>
        </is>
      </c>
      <c r="D103" s="2" t="inlineStr">
        <is>
          <t>Semester 1</t>
        </is>
      </c>
      <c r="E103" s="2" t="inlineStr">
        <is>
          <t>ACC 101</t>
        </is>
      </c>
      <c r="F103" s="2">
        <f>IFERROR(VLOOKUP(E103,Courses!$A:$C,2,FALSE),"")</f>
        <v/>
      </c>
      <c r="G103" s="2">
        <f>IFERROR(VLOOKUP(E103,Courses!$A:$C,3,FALSE),0)</f>
        <v/>
      </c>
      <c r="H103" s="2" t="inlineStr">
        <is>
          <t>C+</t>
        </is>
      </c>
      <c r="I103" s="2" t="n">
        <v>79</v>
      </c>
      <c r="J103" s="2">
        <f>IFERROR(VLOOKUP(H103,'Grade Scale'!$A:$B,2,FALSE),0)</f>
        <v/>
      </c>
      <c r="K103" s="2">
        <f>J103*G103</f>
        <v/>
      </c>
      <c r="L103" s="2">
        <f>IF(H103="F",0,G103)</f>
        <v/>
      </c>
    </row>
    <row r="104">
      <c r="A104" s="2" t="inlineStr">
        <is>
          <t>m240106</t>
        </is>
      </c>
      <c r="B104" s="2">
        <f>IFERROR(VLOOKUP(A104,Students!$A:$B,2,FALSE),"")</f>
        <v/>
      </c>
      <c r="C104" s="2" t="inlineStr">
        <is>
          <t>Fall 2024</t>
        </is>
      </c>
      <c r="D104" s="2" t="inlineStr">
        <is>
          <t>Semester 1</t>
        </is>
      </c>
      <c r="E104" s="2" t="inlineStr">
        <is>
          <t>MTH 105</t>
        </is>
      </c>
      <c r="F104" s="2">
        <f>IFERROR(VLOOKUP(E104,Courses!$A:$C,2,FALSE),"")</f>
        <v/>
      </c>
      <c r="G104" s="2">
        <f>IFERROR(VLOOKUP(E104,Courses!$A:$C,3,FALSE),0)</f>
        <v/>
      </c>
      <c r="H104" s="2" t="inlineStr">
        <is>
          <t>C</t>
        </is>
      </c>
      <c r="I104" s="2" t="n">
        <v>76</v>
      </c>
      <c r="J104" s="2">
        <f>IFERROR(VLOOKUP(H104,'Grade Scale'!$A:$B,2,FALSE),0)</f>
        <v/>
      </c>
      <c r="K104" s="2">
        <f>J104*G104</f>
        <v/>
      </c>
      <c r="L104" s="2">
        <f>IF(H104="F",0,G104)</f>
        <v/>
      </c>
    </row>
    <row r="105">
      <c r="A105" s="2" t="inlineStr">
        <is>
          <t>m240106</t>
        </is>
      </c>
      <c r="B105" s="2">
        <f>IFERROR(VLOOKUP(A105,Students!$A:$B,2,FALSE),"")</f>
        <v/>
      </c>
      <c r="C105" s="2" t="inlineStr">
        <is>
          <t>Fall 2024</t>
        </is>
      </c>
      <c r="D105" s="2" t="inlineStr">
        <is>
          <t>Semester 1</t>
        </is>
      </c>
      <c r="E105" s="2" t="inlineStr">
        <is>
          <t>ENG 101</t>
        </is>
      </c>
      <c r="F105" s="2">
        <f>IFERROR(VLOOKUP(E105,Courses!$A:$C,2,FALSE),"")</f>
        <v/>
      </c>
      <c r="G105" s="2">
        <f>IFERROR(VLOOKUP(E105,Courses!$A:$C,3,FALSE),0)</f>
        <v/>
      </c>
      <c r="H105" s="2" t="inlineStr">
        <is>
          <t>D+</t>
        </is>
      </c>
      <c r="I105" s="2" t="n">
        <v>67</v>
      </c>
      <c r="J105" s="2">
        <f>IFERROR(VLOOKUP(H105,'Grade Scale'!$A:$B,2,FALSE),0)</f>
        <v/>
      </c>
      <c r="K105" s="2">
        <f>J105*G105</f>
        <v/>
      </c>
      <c r="L105" s="2">
        <f>IF(H105="F",0,G105)</f>
        <v/>
      </c>
    </row>
    <row r="106">
      <c r="A106" s="2" t="inlineStr">
        <is>
          <t>m240106</t>
        </is>
      </c>
      <c r="B106" s="2">
        <f>IFERROR(VLOOKUP(A106,Students!$A:$B,2,FALSE),"")</f>
        <v/>
      </c>
      <c r="C106" s="2" t="inlineStr">
        <is>
          <t>Fall 2024</t>
        </is>
      </c>
      <c r="D106" s="2" t="inlineStr">
        <is>
          <t>Semester 1</t>
        </is>
      </c>
      <c r="E106" s="2" t="inlineStr">
        <is>
          <t>FIN 100</t>
        </is>
      </c>
      <c r="F106" s="2">
        <f>IFERROR(VLOOKUP(E106,Courses!$A:$C,2,FALSE),"")</f>
        <v/>
      </c>
      <c r="G106" s="2">
        <f>IFERROR(VLOOKUP(E106,Courses!$A:$C,3,FALSE),0)</f>
        <v/>
      </c>
      <c r="H106" s="2" t="inlineStr">
        <is>
          <t>F</t>
        </is>
      </c>
      <c r="I106" s="2" t="n">
        <v>59</v>
      </c>
      <c r="J106" s="2">
        <f>IFERROR(VLOOKUP(H106,'Grade Scale'!$A:$B,2,FALSE),0)</f>
        <v/>
      </c>
      <c r="K106" s="2">
        <f>J106*G106</f>
        <v/>
      </c>
      <c r="L106" s="2">
        <f>IF(H106="F",0,G106)</f>
        <v/>
      </c>
    </row>
    <row r="107">
      <c r="A107" s="2" t="inlineStr">
        <is>
          <t>m240106</t>
        </is>
      </c>
      <c r="B107" s="2">
        <f>IFERROR(VLOOKUP(A107,Students!$A:$B,2,FALSE),"")</f>
        <v/>
      </c>
      <c r="C107" s="2" t="inlineStr">
        <is>
          <t>Spring 2025</t>
        </is>
      </c>
      <c r="D107" s="2" t="inlineStr">
        <is>
          <t>Semester 2</t>
        </is>
      </c>
      <c r="E107" s="2" t="inlineStr">
        <is>
          <t>ECO 102</t>
        </is>
      </c>
      <c r="F107" s="2">
        <f>IFERROR(VLOOKUP(E107,Courses!$A:$C,2,FALSE),"")</f>
        <v/>
      </c>
      <c r="G107" s="2">
        <f>IFERROR(VLOOKUP(E107,Courses!$A:$C,3,FALSE),0)</f>
        <v/>
      </c>
      <c r="H107" s="2" t="inlineStr">
        <is>
          <t>C+</t>
        </is>
      </c>
      <c r="I107" s="2" t="n">
        <v>79</v>
      </c>
      <c r="J107" s="2">
        <f>IFERROR(VLOOKUP(H107,'Grade Scale'!$A:$B,2,FALSE),0)</f>
        <v/>
      </c>
      <c r="K107" s="2">
        <f>J107*G107</f>
        <v/>
      </c>
      <c r="L107" s="2">
        <f>IF(H107="F",0,G107)</f>
        <v/>
      </c>
    </row>
    <row r="108">
      <c r="A108" s="2" t="inlineStr">
        <is>
          <t>m240106</t>
        </is>
      </c>
      <c r="B108" s="2">
        <f>IFERROR(VLOOKUP(A108,Students!$A:$B,2,FALSE),"")</f>
        <v/>
      </c>
      <c r="C108" s="2" t="inlineStr">
        <is>
          <t>Spring 2025</t>
        </is>
      </c>
      <c r="D108" s="2" t="inlineStr">
        <is>
          <t>Semester 2</t>
        </is>
      </c>
      <c r="E108" s="2" t="inlineStr">
        <is>
          <t>ACC 102</t>
        </is>
      </c>
      <c r="F108" s="2">
        <f>IFERROR(VLOOKUP(E108,Courses!$A:$C,2,FALSE),"")</f>
        <v/>
      </c>
      <c r="G108" s="2">
        <f>IFERROR(VLOOKUP(E108,Courses!$A:$C,3,FALSE),0)</f>
        <v/>
      </c>
      <c r="H108" s="2" t="inlineStr">
        <is>
          <t>B</t>
        </is>
      </c>
      <c r="I108" s="2" t="n">
        <v>85</v>
      </c>
      <c r="J108" s="2">
        <f>IFERROR(VLOOKUP(H108,'Grade Scale'!$A:$B,2,FALSE),0)</f>
        <v/>
      </c>
      <c r="K108" s="2">
        <f>J108*G108</f>
        <v/>
      </c>
      <c r="L108" s="2">
        <f>IF(H108="F",0,G108)</f>
        <v/>
      </c>
    </row>
    <row r="109">
      <c r="A109" s="2" t="inlineStr">
        <is>
          <t>m240106</t>
        </is>
      </c>
      <c r="B109" s="2">
        <f>IFERROR(VLOOKUP(A109,Students!$A:$B,2,FALSE),"")</f>
        <v/>
      </c>
      <c r="C109" s="2" t="inlineStr">
        <is>
          <t>Spring 2025</t>
        </is>
      </c>
      <c r="D109" s="2" t="inlineStr">
        <is>
          <t>Semester 2</t>
        </is>
      </c>
      <c r="E109" s="2" t="inlineStr">
        <is>
          <t>STA 110</t>
        </is>
      </c>
      <c r="F109" s="2">
        <f>IFERROR(VLOOKUP(E109,Courses!$A:$C,2,FALSE),"")</f>
        <v/>
      </c>
      <c r="G109" s="2">
        <f>IFERROR(VLOOKUP(E109,Courses!$A:$C,3,FALSE),0)</f>
        <v/>
      </c>
      <c r="H109" s="2" t="inlineStr">
        <is>
          <t>C-</t>
        </is>
      </c>
      <c r="I109" s="2" t="n">
        <v>72</v>
      </c>
      <c r="J109" s="2">
        <f>IFERROR(VLOOKUP(H109,'Grade Scale'!$A:$B,2,FALSE),0)</f>
        <v/>
      </c>
      <c r="K109" s="2">
        <f>J109*G109</f>
        <v/>
      </c>
      <c r="L109" s="2">
        <f>IF(H109="F",0,G109)</f>
        <v/>
      </c>
    </row>
    <row r="110">
      <c r="A110" s="2" t="inlineStr">
        <is>
          <t>m240106</t>
        </is>
      </c>
      <c r="B110" s="2">
        <f>IFERROR(VLOOKUP(A110,Students!$A:$B,2,FALSE),"")</f>
        <v/>
      </c>
      <c r="C110" s="2" t="inlineStr">
        <is>
          <t>Spring 2025</t>
        </is>
      </c>
      <c r="D110" s="2" t="inlineStr">
        <is>
          <t>Semester 2</t>
        </is>
      </c>
      <c r="E110" s="2" t="inlineStr">
        <is>
          <t>ENG 102</t>
        </is>
      </c>
      <c r="F110" s="2">
        <f>IFERROR(VLOOKUP(E110,Courses!$A:$C,2,FALSE),"")</f>
        <v/>
      </c>
      <c r="G110" s="2">
        <f>IFERROR(VLOOKUP(E110,Courses!$A:$C,3,FALSE),0)</f>
        <v/>
      </c>
      <c r="H110" s="2" t="inlineStr">
        <is>
          <t>C-</t>
        </is>
      </c>
      <c r="I110" s="2" t="n">
        <v>72</v>
      </c>
      <c r="J110" s="2">
        <f>IFERROR(VLOOKUP(H110,'Grade Scale'!$A:$B,2,FALSE),0)</f>
        <v/>
      </c>
      <c r="K110" s="2">
        <f>J110*G110</f>
        <v/>
      </c>
      <c r="L110" s="2">
        <f>IF(H110="F",0,G110)</f>
        <v/>
      </c>
    </row>
    <row r="111">
      <c r="A111" s="2" t="inlineStr">
        <is>
          <t>m240106</t>
        </is>
      </c>
      <c r="B111" s="2">
        <f>IFERROR(VLOOKUP(A111,Students!$A:$B,2,FALSE),"")</f>
        <v/>
      </c>
      <c r="C111" s="2" t="inlineStr">
        <is>
          <t>Spring 2025</t>
        </is>
      </c>
      <c r="D111" s="2" t="inlineStr">
        <is>
          <t>Semester 2</t>
        </is>
      </c>
      <c r="E111" s="2" t="inlineStr">
        <is>
          <t>FIN 150</t>
        </is>
      </c>
      <c r="F111" s="2">
        <f>IFERROR(VLOOKUP(E111,Courses!$A:$C,2,FALSE),"")</f>
        <v/>
      </c>
      <c r="G111" s="2">
        <f>IFERROR(VLOOKUP(E111,Courses!$A:$C,3,FALSE),0)</f>
        <v/>
      </c>
      <c r="H111" s="2" t="inlineStr">
        <is>
          <t>C</t>
        </is>
      </c>
      <c r="I111" s="2" t="n">
        <v>74</v>
      </c>
      <c r="J111" s="2">
        <f>IFERROR(VLOOKUP(H111,'Grade Scale'!$A:$B,2,FALSE),0)</f>
        <v/>
      </c>
      <c r="K111" s="2">
        <f>J111*G111</f>
        <v/>
      </c>
      <c r="L111" s="2">
        <f>IF(H111="F",0,G111)</f>
        <v/>
      </c>
    </row>
    <row r="112">
      <c r="A112" s="2" t="inlineStr">
        <is>
          <t>m240107</t>
        </is>
      </c>
      <c r="B112" s="2">
        <f>IFERROR(VLOOKUP(A112,Students!$A:$B,2,FALSE),"")</f>
        <v/>
      </c>
      <c r="C112" s="2" t="inlineStr">
        <is>
          <t>Fall 2024</t>
        </is>
      </c>
      <c r="D112" s="2" t="inlineStr">
        <is>
          <t>Semester 1</t>
        </is>
      </c>
      <c r="E112" s="2" t="inlineStr">
        <is>
          <t>IRL 501</t>
        </is>
      </c>
      <c r="F112" s="2">
        <f>IFERROR(VLOOKUP(E112,Courses!$A:$C,2,FALSE),"")</f>
        <v/>
      </c>
      <c r="G112" s="2">
        <f>IFERROR(VLOOKUP(E112,Courses!$A:$C,3,FALSE),0)</f>
        <v/>
      </c>
      <c r="H112" s="2" t="inlineStr">
        <is>
          <t>B+</t>
        </is>
      </c>
      <c r="I112" s="2" t="n">
        <v>87</v>
      </c>
      <c r="J112" s="2">
        <f>IFERROR(VLOOKUP(H112,'Grade Scale'!$A:$B,2,FALSE),0)</f>
        <v/>
      </c>
      <c r="K112" s="2">
        <f>J112*G112</f>
        <v/>
      </c>
      <c r="L112" s="2">
        <f>IF(H112="F",0,G112)</f>
        <v/>
      </c>
    </row>
    <row r="113">
      <c r="A113" s="2" t="inlineStr">
        <is>
          <t>m240107</t>
        </is>
      </c>
      <c r="B113" s="2">
        <f>IFERROR(VLOOKUP(A113,Students!$A:$B,2,FALSE),"")</f>
        <v/>
      </c>
      <c r="C113" s="2" t="inlineStr">
        <is>
          <t>Fall 2024</t>
        </is>
      </c>
      <c r="D113" s="2" t="inlineStr">
        <is>
          <t>Semester 1</t>
        </is>
      </c>
      <c r="E113" s="2" t="inlineStr">
        <is>
          <t>IRL 510</t>
        </is>
      </c>
      <c r="F113" s="2">
        <f>IFERROR(VLOOKUP(E113,Courses!$A:$C,2,FALSE),"")</f>
        <v/>
      </c>
      <c r="G113" s="2">
        <f>IFERROR(VLOOKUP(E113,Courses!$A:$C,3,FALSE),0)</f>
        <v/>
      </c>
      <c r="H113" s="2" t="inlineStr">
        <is>
          <t>A</t>
        </is>
      </c>
      <c r="I113" s="2" t="n">
        <v>95</v>
      </c>
      <c r="J113" s="2">
        <f>IFERROR(VLOOKUP(H113,'Grade Scale'!$A:$B,2,FALSE),0)</f>
        <v/>
      </c>
      <c r="K113" s="2">
        <f>J113*G113</f>
        <v/>
      </c>
      <c r="L113" s="2">
        <f>IF(H113="F",0,G113)</f>
        <v/>
      </c>
    </row>
    <row r="114">
      <c r="A114" s="2" t="inlineStr">
        <is>
          <t>m240107</t>
        </is>
      </c>
      <c r="B114" s="2">
        <f>IFERROR(VLOOKUP(A114,Students!$A:$B,2,FALSE),"")</f>
        <v/>
      </c>
      <c r="C114" s="2" t="inlineStr">
        <is>
          <t>Fall 2024</t>
        </is>
      </c>
      <c r="D114" s="2" t="inlineStr">
        <is>
          <t>Semester 1</t>
        </is>
      </c>
      <c r="E114" s="2" t="inlineStr">
        <is>
          <t>IRL 520</t>
        </is>
      </c>
      <c r="F114" s="2">
        <f>IFERROR(VLOOKUP(E114,Courses!$A:$C,2,FALSE),"")</f>
        <v/>
      </c>
      <c r="G114" s="2">
        <f>IFERROR(VLOOKUP(E114,Courses!$A:$C,3,FALSE),0)</f>
        <v/>
      </c>
      <c r="H114" s="2" t="inlineStr">
        <is>
          <t>A</t>
        </is>
      </c>
      <c r="I114" s="2" t="n">
        <v>96</v>
      </c>
      <c r="J114" s="2">
        <f>IFERROR(VLOOKUP(H114,'Grade Scale'!$A:$B,2,FALSE),0)</f>
        <v/>
      </c>
      <c r="K114" s="2">
        <f>J114*G114</f>
        <v/>
      </c>
      <c r="L114" s="2">
        <f>IF(H114="F",0,G114)</f>
        <v/>
      </c>
    </row>
    <row r="115">
      <c r="A115" s="2" t="inlineStr">
        <is>
          <t>m240107</t>
        </is>
      </c>
      <c r="B115" s="2">
        <f>IFERROR(VLOOKUP(A115,Students!$A:$B,2,FALSE),"")</f>
        <v/>
      </c>
      <c r="C115" s="2" t="inlineStr">
        <is>
          <t>Fall 2024</t>
        </is>
      </c>
      <c r="D115" s="2" t="inlineStr">
        <is>
          <t>Semester 1</t>
        </is>
      </c>
      <c r="E115" s="2" t="inlineStr">
        <is>
          <t>IRL 530</t>
        </is>
      </c>
      <c r="F115" s="2">
        <f>IFERROR(VLOOKUP(E115,Courses!$A:$C,2,FALSE),"")</f>
        <v/>
      </c>
      <c r="G115" s="2">
        <f>IFERROR(VLOOKUP(E115,Courses!$A:$C,3,FALSE),0)</f>
        <v/>
      </c>
      <c r="H115" s="2" t="inlineStr">
        <is>
          <t>A</t>
        </is>
      </c>
      <c r="I115" s="2" t="n">
        <v>94</v>
      </c>
      <c r="J115" s="2">
        <f>IFERROR(VLOOKUP(H115,'Grade Scale'!$A:$B,2,FALSE),0)</f>
        <v/>
      </c>
      <c r="K115" s="2">
        <f>J115*G115</f>
        <v/>
      </c>
      <c r="L115" s="2">
        <f>IF(H115="F",0,G115)</f>
        <v/>
      </c>
    </row>
    <row r="116">
      <c r="A116" s="2" t="inlineStr">
        <is>
          <t>m240107</t>
        </is>
      </c>
      <c r="B116" s="2">
        <f>IFERROR(VLOOKUP(A116,Students!$A:$B,2,FALSE),"")</f>
        <v/>
      </c>
      <c r="C116" s="2" t="inlineStr">
        <is>
          <t>Fall 2024</t>
        </is>
      </c>
      <c r="D116" s="2" t="inlineStr">
        <is>
          <t>Semester 1</t>
        </is>
      </c>
      <c r="E116" s="2" t="inlineStr">
        <is>
          <t>IRL 540</t>
        </is>
      </c>
      <c r="F116" s="2">
        <f>IFERROR(VLOOKUP(E116,Courses!$A:$C,2,FALSE),"")</f>
        <v/>
      </c>
      <c r="G116" s="2">
        <f>IFERROR(VLOOKUP(E116,Courses!$A:$C,3,FALSE),0)</f>
        <v/>
      </c>
      <c r="H116" s="2" t="inlineStr">
        <is>
          <t>B-</t>
        </is>
      </c>
      <c r="I116" s="2" t="n">
        <v>82</v>
      </c>
      <c r="J116" s="2">
        <f>IFERROR(VLOOKUP(H116,'Grade Scale'!$A:$B,2,FALSE),0)</f>
        <v/>
      </c>
      <c r="K116" s="2">
        <f>J116*G116</f>
        <v/>
      </c>
      <c r="L116" s="2">
        <f>IF(H116="F",0,G116)</f>
        <v/>
      </c>
    </row>
    <row r="117">
      <c r="A117" s="2" t="inlineStr">
        <is>
          <t>m240107</t>
        </is>
      </c>
      <c r="B117" s="2">
        <f>IFERROR(VLOOKUP(A117,Students!$A:$B,2,FALSE),"")</f>
        <v/>
      </c>
      <c r="C117" s="2" t="inlineStr">
        <is>
          <t>Spring 2025</t>
        </is>
      </c>
      <c r="D117" s="2" t="inlineStr">
        <is>
          <t>Semester 2</t>
        </is>
      </c>
      <c r="E117" s="2" t="inlineStr">
        <is>
          <t>IRL 550</t>
        </is>
      </c>
      <c r="F117" s="2">
        <f>IFERROR(VLOOKUP(E117,Courses!$A:$C,2,FALSE),"")</f>
        <v/>
      </c>
      <c r="G117" s="2">
        <f>IFERROR(VLOOKUP(E117,Courses!$A:$C,3,FALSE),0)</f>
        <v/>
      </c>
      <c r="H117" s="2" t="inlineStr">
        <is>
          <t>A-</t>
        </is>
      </c>
      <c r="I117" s="2" t="n">
        <v>91</v>
      </c>
      <c r="J117" s="2">
        <f>IFERROR(VLOOKUP(H117,'Grade Scale'!$A:$B,2,FALSE),0)</f>
        <v/>
      </c>
      <c r="K117" s="2">
        <f>J117*G117</f>
        <v/>
      </c>
      <c r="L117" s="2">
        <f>IF(H117="F",0,G117)</f>
        <v/>
      </c>
    </row>
    <row r="118">
      <c r="A118" s="2" t="inlineStr">
        <is>
          <t>m240107</t>
        </is>
      </c>
      <c r="B118" s="2">
        <f>IFERROR(VLOOKUP(A118,Students!$A:$B,2,FALSE),"")</f>
        <v/>
      </c>
      <c r="C118" s="2" t="inlineStr">
        <is>
          <t>Spring 2025</t>
        </is>
      </c>
      <c r="D118" s="2" t="inlineStr">
        <is>
          <t>Semester 2</t>
        </is>
      </c>
      <c r="E118" s="2" t="inlineStr">
        <is>
          <t>IRL 560</t>
        </is>
      </c>
      <c r="F118" s="2">
        <f>IFERROR(VLOOKUP(E118,Courses!$A:$C,2,FALSE),"")</f>
        <v/>
      </c>
      <c r="G118" s="2">
        <f>IFERROR(VLOOKUP(E118,Courses!$A:$C,3,FALSE),0)</f>
        <v/>
      </c>
      <c r="H118" s="2" t="inlineStr">
        <is>
          <t>B+</t>
        </is>
      </c>
      <c r="I118" s="2" t="n">
        <v>88</v>
      </c>
      <c r="J118" s="2">
        <f>IFERROR(VLOOKUP(H118,'Grade Scale'!$A:$B,2,FALSE),0)</f>
        <v/>
      </c>
      <c r="K118" s="2">
        <f>J118*G118</f>
        <v/>
      </c>
      <c r="L118" s="2">
        <f>IF(H118="F",0,G118)</f>
        <v/>
      </c>
    </row>
    <row r="119">
      <c r="A119" s="2" t="inlineStr">
        <is>
          <t>m240107</t>
        </is>
      </c>
      <c r="B119" s="2">
        <f>IFERROR(VLOOKUP(A119,Students!$A:$B,2,FALSE),"")</f>
        <v/>
      </c>
      <c r="C119" s="2" t="inlineStr">
        <is>
          <t>Spring 2025</t>
        </is>
      </c>
      <c r="D119" s="2" t="inlineStr">
        <is>
          <t>Semester 2</t>
        </is>
      </c>
      <c r="E119" s="2" t="inlineStr">
        <is>
          <t>IRL 570</t>
        </is>
      </c>
      <c r="F119" s="2">
        <f>IFERROR(VLOOKUP(E119,Courses!$A:$C,2,FALSE),"")</f>
        <v/>
      </c>
      <c r="G119" s="2">
        <f>IFERROR(VLOOKUP(E119,Courses!$A:$C,3,FALSE),0)</f>
        <v/>
      </c>
      <c r="H119" s="2" t="inlineStr">
        <is>
          <t>B+</t>
        </is>
      </c>
      <c r="I119" s="2" t="n">
        <v>88</v>
      </c>
      <c r="J119" s="2">
        <f>IFERROR(VLOOKUP(H119,'Grade Scale'!$A:$B,2,FALSE),0)</f>
        <v/>
      </c>
      <c r="K119" s="2">
        <f>J119*G119</f>
        <v/>
      </c>
      <c r="L119" s="2">
        <f>IF(H119="F",0,G119)</f>
        <v/>
      </c>
    </row>
    <row r="120">
      <c r="A120" s="2" t="inlineStr">
        <is>
          <t>m240107</t>
        </is>
      </c>
      <c r="B120" s="2">
        <f>IFERROR(VLOOKUP(A120,Students!$A:$B,2,FALSE),"")</f>
        <v/>
      </c>
      <c r="C120" s="2" t="inlineStr">
        <is>
          <t>Spring 2025</t>
        </is>
      </c>
      <c r="D120" s="2" t="inlineStr">
        <is>
          <t>Semester 2</t>
        </is>
      </c>
      <c r="E120" s="2" t="inlineStr">
        <is>
          <t>IRL 580</t>
        </is>
      </c>
      <c r="F120" s="2">
        <f>IFERROR(VLOOKUP(E120,Courses!$A:$C,2,FALSE),"")</f>
        <v/>
      </c>
      <c r="G120" s="2">
        <f>IFERROR(VLOOKUP(E120,Courses!$A:$C,3,FALSE),0)</f>
        <v/>
      </c>
      <c r="H120" s="2" t="inlineStr">
        <is>
          <t>C</t>
        </is>
      </c>
      <c r="I120" s="2" t="n">
        <v>76</v>
      </c>
      <c r="J120" s="2">
        <f>IFERROR(VLOOKUP(H120,'Grade Scale'!$A:$B,2,FALSE),0)</f>
        <v/>
      </c>
      <c r="K120" s="2">
        <f>J120*G120</f>
        <v/>
      </c>
      <c r="L120" s="2">
        <f>IF(H120="F",0,G120)</f>
        <v/>
      </c>
    </row>
    <row r="121">
      <c r="A121" s="2" t="inlineStr">
        <is>
          <t>m240107</t>
        </is>
      </c>
      <c r="B121" s="2">
        <f>IFERROR(VLOOKUP(A121,Students!$A:$B,2,FALSE),"")</f>
        <v/>
      </c>
      <c r="C121" s="2" t="inlineStr">
        <is>
          <t>Spring 2025</t>
        </is>
      </c>
      <c r="D121" s="2" t="inlineStr">
        <is>
          <t>Semester 2</t>
        </is>
      </c>
      <c r="E121" s="2" t="inlineStr">
        <is>
          <t>IRL 590</t>
        </is>
      </c>
      <c r="F121" s="2">
        <f>IFERROR(VLOOKUP(E121,Courses!$A:$C,2,FALSE),"")</f>
        <v/>
      </c>
      <c r="G121" s="2">
        <f>IFERROR(VLOOKUP(E121,Courses!$A:$C,3,FALSE),0)</f>
        <v/>
      </c>
      <c r="H121" s="2" t="inlineStr">
        <is>
          <t>B-</t>
        </is>
      </c>
      <c r="I121" s="2" t="n">
        <v>81</v>
      </c>
      <c r="J121" s="2">
        <f>IFERROR(VLOOKUP(H121,'Grade Scale'!$A:$B,2,FALSE),0)</f>
        <v/>
      </c>
      <c r="K121" s="2">
        <f>J121*G121</f>
        <v/>
      </c>
      <c r="L121" s="2">
        <f>IF(H121="F",0,G121)</f>
        <v/>
      </c>
    </row>
    <row r="122">
      <c r="A122" s="2" t="inlineStr">
        <is>
          <t>m240107</t>
        </is>
      </c>
      <c r="B122" s="2">
        <f>IFERROR(VLOOKUP(A122,Students!$A:$B,2,FALSE),"")</f>
        <v/>
      </c>
      <c r="C122" s="2" t="inlineStr">
        <is>
          <t>Fall 2025</t>
        </is>
      </c>
      <c r="D122" s="2" t="inlineStr">
        <is>
          <t>Semester 3</t>
        </is>
      </c>
      <c r="E122" s="2" t="inlineStr">
        <is>
          <t>IRL 610</t>
        </is>
      </c>
      <c r="F122" s="2">
        <f>IFERROR(VLOOKUP(E122,Courses!$A:$C,2,FALSE),"")</f>
        <v/>
      </c>
      <c r="G122" s="2">
        <f>IFERROR(VLOOKUP(E122,Courses!$A:$C,3,FALSE),0)</f>
        <v/>
      </c>
      <c r="H122" s="2" t="inlineStr">
        <is>
          <t>A</t>
        </is>
      </c>
      <c r="I122" s="2" t="n">
        <v>97</v>
      </c>
      <c r="J122" s="2">
        <f>IFERROR(VLOOKUP(H122,'Grade Scale'!$A:$B,2,FALSE),0)</f>
        <v/>
      </c>
      <c r="K122" s="2">
        <f>J122*G122</f>
        <v/>
      </c>
      <c r="L122" s="2">
        <f>IF(H122="F",0,G122)</f>
        <v/>
      </c>
    </row>
    <row r="123">
      <c r="A123" s="2" t="inlineStr">
        <is>
          <t>m240107</t>
        </is>
      </c>
      <c r="B123" s="2">
        <f>IFERROR(VLOOKUP(A123,Students!$A:$B,2,FALSE),"")</f>
        <v/>
      </c>
      <c r="C123" s="2" t="inlineStr">
        <is>
          <t>Fall 2025</t>
        </is>
      </c>
      <c r="D123" s="2" t="inlineStr">
        <is>
          <t>Semester 3</t>
        </is>
      </c>
      <c r="E123" s="2" t="inlineStr">
        <is>
          <t>IRL 620</t>
        </is>
      </c>
      <c r="F123" s="2">
        <f>IFERROR(VLOOKUP(E123,Courses!$A:$C,2,FALSE),"")</f>
        <v/>
      </c>
      <c r="G123" s="2">
        <f>IFERROR(VLOOKUP(E123,Courses!$A:$C,3,FALSE),0)</f>
        <v/>
      </c>
      <c r="H123" s="2" t="inlineStr">
        <is>
          <t>A</t>
        </is>
      </c>
      <c r="I123" s="2" t="n">
        <v>93</v>
      </c>
      <c r="J123" s="2">
        <f>IFERROR(VLOOKUP(H123,'Grade Scale'!$A:$B,2,FALSE),0)</f>
        <v/>
      </c>
      <c r="K123" s="2">
        <f>J123*G123</f>
        <v/>
      </c>
      <c r="L123" s="2">
        <f>IF(H123="F",0,G123)</f>
        <v/>
      </c>
    </row>
    <row r="124">
      <c r="A124" s="2" t="inlineStr">
        <is>
          <t>m240107</t>
        </is>
      </c>
      <c r="B124" s="2">
        <f>IFERROR(VLOOKUP(A124,Students!$A:$B,2,FALSE),"")</f>
        <v/>
      </c>
      <c r="C124" s="2" t="inlineStr">
        <is>
          <t>Fall 2025</t>
        </is>
      </c>
      <c r="D124" s="2" t="inlineStr">
        <is>
          <t>Semester 3</t>
        </is>
      </c>
      <c r="E124" s="2" t="inlineStr">
        <is>
          <t>IRL 630</t>
        </is>
      </c>
      <c r="F124" s="2">
        <f>IFERROR(VLOOKUP(E124,Courses!$A:$C,2,FALSE),"")</f>
        <v/>
      </c>
      <c r="G124" s="2">
        <f>IFERROR(VLOOKUP(E124,Courses!$A:$C,3,FALSE),0)</f>
        <v/>
      </c>
      <c r="H124" s="2" t="inlineStr">
        <is>
          <t>B+</t>
        </is>
      </c>
      <c r="I124" s="2" t="n">
        <v>88</v>
      </c>
      <c r="J124" s="2">
        <f>IFERROR(VLOOKUP(H124,'Grade Scale'!$A:$B,2,FALSE),0)</f>
        <v/>
      </c>
      <c r="K124" s="2">
        <f>J124*G124</f>
        <v/>
      </c>
      <c r="L124" s="2">
        <f>IF(H124="F",0,G124)</f>
        <v/>
      </c>
    </row>
    <row r="125">
      <c r="A125" s="2" t="inlineStr">
        <is>
          <t>m240107</t>
        </is>
      </c>
      <c r="B125" s="2">
        <f>IFERROR(VLOOKUP(A125,Students!$A:$B,2,FALSE),"")</f>
        <v/>
      </c>
      <c r="C125" s="2" t="inlineStr">
        <is>
          <t>Fall 2025</t>
        </is>
      </c>
      <c r="D125" s="2" t="inlineStr">
        <is>
          <t>Semester 3</t>
        </is>
      </c>
      <c r="E125" s="2" t="inlineStr">
        <is>
          <t>IRL 640</t>
        </is>
      </c>
      <c r="F125" s="2">
        <f>IFERROR(VLOOKUP(E125,Courses!$A:$C,2,FALSE),"")</f>
        <v/>
      </c>
      <c r="G125" s="2">
        <f>IFERROR(VLOOKUP(E125,Courses!$A:$C,3,FALSE),0)</f>
        <v/>
      </c>
      <c r="H125" s="2" t="inlineStr">
        <is>
          <t>A</t>
        </is>
      </c>
      <c r="I125" s="2" t="n">
        <v>96</v>
      </c>
      <c r="J125" s="2">
        <f>IFERROR(VLOOKUP(H125,'Grade Scale'!$A:$B,2,FALSE),0)</f>
        <v/>
      </c>
      <c r="K125" s="2">
        <f>J125*G125</f>
        <v/>
      </c>
      <c r="L125" s="2">
        <f>IF(H125="F",0,G125)</f>
        <v/>
      </c>
    </row>
    <row r="126">
      <c r="A126" s="2" t="inlineStr">
        <is>
          <t>m240107</t>
        </is>
      </c>
      <c r="B126" s="2">
        <f>IFERROR(VLOOKUP(A126,Students!$A:$B,2,FALSE),"")</f>
        <v/>
      </c>
      <c r="C126" s="2" t="inlineStr">
        <is>
          <t>Fall 2025</t>
        </is>
      </c>
      <c r="D126" s="2" t="inlineStr">
        <is>
          <t>Semester 3</t>
        </is>
      </c>
      <c r="E126" s="2" t="inlineStr">
        <is>
          <t>IRL 690</t>
        </is>
      </c>
      <c r="F126" s="2">
        <f>IFERROR(VLOOKUP(E126,Courses!$A:$C,2,FALSE),"")</f>
        <v/>
      </c>
      <c r="G126" s="2">
        <f>IFERROR(VLOOKUP(E126,Courses!$A:$C,3,FALSE),0)</f>
        <v/>
      </c>
      <c r="H126" s="2" t="inlineStr">
        <is>
          <t>B+</t>
        </is>
      </c>
      <c r="I126" s="2" t="n">
        <v>88</v>
      </c>
      <c r="J126" s="2">
        <f>IFERROR(VLOOKUP(H126,'Grade Scale'!$A:$B,2,FALSE),0)</f>
        <v/>
      </c>
      <c r="K126" s="2">
        <f>J126*G126</f>
        <v/>
      </c>
      <c r="L126" s="2">
        <f>IF(H126="F",0,G126)</f>
        <v/>
      </c>
    </row>
    <row r="127">
      <c r="A127" s="2" t="inlineStr">
        <is>
          <t>m240107</t>
        </is>
      </c>
      <c r="B127" s="2">
        <f>IFERROR(VLOOKUP(A127,Students!$A:$B,2,FALSE),"")</f>
        <v/>
      </c>
      <c r="C127" s="2" t="inlineStr">
        <is>
          <t>Spring 2026</t>
        </is>
      </c>
      <c r="D127" s="2" t="inlineStr">
        <is>
          <t>Semester 4</t>
        </is>
      </c>
      <c r="E127" s="2" t="inlineStr">
        <is>
          <t>IRL 650</t>
        </is>
      </c>
      <c r="F127" s="2">
        <f>IFERROR(VLOOKUP(E127,Courses!$A:$C,2,FALSE),"")</f>
        <v/>
      </c>
      <c r="G127" s="2">
        <f>IFERROR(VLOOKUP(E127,Courses!$A:$C,3,FALSE),0)</f>
        <v/>
      </c>
      <c r="H127" s="2" t="inlineStr">
        <is>
          <t>C</t>
        </is>
      </c>
      <c r="I127" s="2" t="n">
        <v>73</v>
      </c>
      <c r="J127" s="2">
        <f>IFERROR(VLOOKUP(H127,'Grade Scale'!$A:$B,2,FALSE),0)</f>
        <v/>
      </c>
      <c r="K127" s="2">
        <f>J127*G127</f>
        <v/>
      </c>
      <c r="L127" s="2">
        <f>IF(H127="F",0,G127)</f>
        <v/>
      </c>
    </row>
    <row r="128">
      <c r="A128" s="2" t="inlineStr">
        <is>
          <t>m240107</t>
        </is>
      </c>
      <c r="B128" s="2">
        <f>IFERROR(VLOOKUP(A128,Students!$A:$B,2,FALSE),"")</f>
        <v/>
      </c>
      <c r="C128" s="2" t="inlineStr">
        <is>
          <t>Spring 2026</t>
        </is>
      </c>
      <c r="D128" s="2" t="inlineStr">
        <is>
          <t>Semester 4</t>
        </is>
      </c>
      <c r="E128" s="2" t="inlineStr">
        <is>
          <t>IRL 660</t>
        </is>
      </c>
      <c r="F128" s="2">
        <f>IFERROR(VLOOKUP(E128,Courses!$A:$C,2,FALSE),"")</f>
        <v/>
      </c>
      <c r="G128" s="2">
        <f>IFERROR(VLOOKUP(E128,Courses!$A:$C,3,FALSE),0)</f>
        <v/>
      </c>
      <c r="H128" s="2" t="inlineStr">
        <is>
          <t>B</t>
        </is>
      </c>
      <c r="I128" s="2" t="n">
        <v>84</v>
      </c>
      <c r="J128" s="2">
        <f>IFERROR(VLOOKUP(H128,'Grade Scale'!$A:$B,2,FALSE),0)</f>
        <v/>
      </c>
      <c r="K128" s="2">
        <f>J128*G128</f>
        <v/>
      </c>
      <c r="L128" s="2">
        <f>IF(H128="F",0,G128)</f>
        <v/>
      </c>
    </row>
    <row r="129">
      <c r="A129" s="2" t="inlineStr">
        <is>
          <t>m240107</t>
        </is>
      </c>
      <c r="B129" s="2">
        <f>IFERROR(VLOOKUP(A129,Students!$A:$B,2,FALSE),"")</f>
        <v/>
      </c>
      <c r="C129" s="2" t="inlineStr">
        <is>
          <t>Spring 2026</t>
        </is>
      </c>
      <c r="D129" s="2" t="inlineStr">
        <is>
          <t>Semester 4</t>
        </is>
      </c>
      <c r="E129" s="2" t="inlineStr">
        <is>
          <t>IRL 670</t>
        </is>
      </c>
      <c r="F129" s="2">
        <f>IFERROR(VLOOKUP(E129,Courses!$A:$C,2,FALSE),"")</f>
        <v/>
      </c>
      <c r="G129" s="2">
        <f>IFERROR(VLOOKUP(E129,Courses!$A:$C,3,FALSE),0)</f>
        <v/>
      </c>
      <c r="H129" s="2" t="inlineStr">
        <is>
          <t>B-</t>
        </is>
      </c>
      <c r="I129" s="2" t="n">
        <v>81</v>
      </c>
      <c r="J129" s="2">
        <f>IFERROR(VLOOKUP(H129,'Grade Scale'!$A:$B,2,FALSE),0)</f>
        <v/>
      </c>
      <c r="K129" s="2">
        <f>J129*G129</f>
        <v/>
      </c>
      <c r="L129" s="2">
        <f>IF(H129="F",0,G129)</f>
        <v/>
      </c>
    </row>
    <row r="130">
      <c r="A130" s="2" t="inlineStr">
        <is>
          <t>m240107</t>
        </is>
      </c>
      <c r="B130" s="2">
        <f>IFERROR(VLOOKUP(A130,Students!$A:$B,2,FALSE),"")</f>
        <v/>
      </c>
      <c r="C130" s="2" t="inlineStr">
        <is>
          <t>Spring 2026</t>
        </is>
      </c>
      <c r="D130" s="2" t="inlineStr">
        <is>
          <t>Semester 4</t>
        </is>
      </c>
      <c r="E130" s="2" t="inlineStr">
        <is>
          <t>IRL 680</t>
        </is>
      </c>
      <c r="F130" s="2">
        <f>IFERROR(VLOOKUP(E130,Courses!$A:$C,2,FALSE),"")</f>
        <v/>
      </c>
      <c r="G130" s="2">
        <f>IFERROR(VLOOKUP(E130,Courses!$A:$C,3,FALSE),0)</f>
        <v/>
      </c>
      <c r="H130" s="2" t="inlineStr">
        <is>
          <t>A-</t>
        </is>
      </c>
      <c r="I130" s="2" t="n">
        <v>91</v>
      </c>
      <c r="J130" s="2">
        <f>IFERROR(VLOOKUP(H130,'Grade Scale'!$A:$B,2,FALSE),0)</f>
        <v/>
      </c>
      <c r="K130" s="2">
        <f>J130*G130</f>
        <v/>
      </c>
      <c r="L130" s="2">
        <f>IF(H130="F",0,G130)</f>
        <v/>
      </c>
    </row>
    <row r="131">
      <c r="A131" s="2" t="inlineStr">
        <is>
          <t>m240107</t>
        </is>
      </c>
      <c r="B131" s="2">
        <f>IFERROR(VLOOKUP(A131,Students!$A:$B,2,FALSE),"")</f>
        <v/>
      </c>
      <c r="C131" s="2" t="inlineStr">
        <is>
          <t>Spring 2026</t>
        </is>
      </c>
      <c r="D131" s="2" t="inlineStr">
        <is>
          <t>Semester 4</t>
        </is>
      </c>
      <c r="E131" s="2" t="inlineStr">
        <is>
          <t>IRL 699</t>
        </is>
      </c>
      <c r="F131" s="2">
        <f>IFERROR(VLOOKUP(E131,Courses!$A:$C,2,FALSE),"")</f>
        <v/>
      </c>
      <c r="G131" s="2">
        <f>IFERROR(VLOOKUP(E131,Courses!$A:$C,3,FALSE),0)</f>
        <v/>
      </c>
      <c r="H131" s="2" t="inlineStr">
        <is>
          <t>A-</t>
        </is>
      </c>
      <c r="I131" s="2" t="n">
        <v>92</v>
      </c>
      <c r="J131" s="2">
        <f>IFERROR(VLOOKUP(H131,'Grade Scale'!$A:$B,2,FALSE),0)</f>
        <v/>
      </c>
      <c r="K131" s="2">
        <f>J131*G131</f>
        <v/>
      </c>
      <c r="L131" s="2">
        <f>IF(H131="F",0,G131)</f>
        <v/>
      </c>
    </row>
    <row r="132">
      <c r="A132" s="2" t="inlineStr">
        <is>
          <t>m240108</t>
        </is>
      </c>
      <c r="B132" s="2">
        <f>IFERROR(VLOOKUP(A132,Students!$A:$B,2,FALSE),"")</f>
        <v/>
      </c>
      <c r="C132" s="2" t="inlineStr">
        <is>
          <t>Fall 2024</t>
        </is>
      </c>
      <c r="D132" s="2" t="inlineStr">
        <is>
          <t>Semester 1</t>
        </is>
      </c>
      <c r="E132" s="2" t="inlineStr">
        <is>
          <t>CIV 101</t>
        </is>
      </c>
      <c r="F132" s="2">
        <f>IFERROR(VLOOKUP(E132,Courses!$A:$C,2,FALSE),"")</f>
        <v/>
      </c>
      <c r="G132" s="2">
        <f>IFERROR(VLOOKUP(E132,Courses!$A:$C,3,FALSE),0)</f>
        <v/>
      </c>
      <c r="H132" s="2" t="inlineStr">
        <is>
          <t>C-</t>
        </is>
      </c>
      <c r="I132" s="2" t="n">
        <v>70</v>
      </c>
      <c r="J132" s="2">
        <f>IFERROR(VLOOKUP(H132,'Grade Scale'!$A:$B,2,FALSE),0)</f>
        <v/>
      </c>
      <c r="K132" s="2">
        <f>J132*G132</f>
        <v/>
      </c>
      <c r="L132" s="2">
        <f>IF(H132="F",0,G132)</f>
        <v/>
      </c>
    </row>
    <row r="133">
      <c r="A133" s="2" t="inlineStr">
        <is>
          <t>m240108</t>
        </is>
      </c>
      <c r="B133" s="2">
        <f>IFERROR(VLOOKUP(A133,Students!$A:$B,2,FALSE),"")</f>
        <v/>
      </c>
      <c r="C133" s="2" t="inlineStr">
        <is>
          <t>Fall 2024</t>
        </is>
      </c>
      <c r="D133" s="2" t="inlineStr">
        <is>
          <t>Semester 1</t>
        </is>
      </c>
      <c r="E133" s="2" t="inlineStr">
        <is>
          <t>MTH 120</t>
        </is>
      </c>
      <c r="F133" s="2">
        <f>IFERROR(VLOOKUP(E133,Courses!$A:$C,2,FALSE),"")</f>
        <v/>
      </c>
      <c r="G133" s="2">
        <f>IFERROR(VLOOKUP(E133,Courses!$A:$C,3,FALSE),0)</f>
        <v/>
      </c>
      <c r="H133" s="2" t="inlineStr">
        <is>
          <t>C</t>
        </is>
      </c>
      <c r="I133" s="2" t="n">
        <v>74</v>
      </c>
      <c r="J133" s="2">
        <f>IFERROR(VLOOKUP(H133,'Grade Scale'!$A:$B,2,FALSE),0)</f>
        <v/>
      </c>
      <c r="K133" s="2">
        <f>J133*G133</f>
        <v/>
      </c>
      <c r="L133" s="2">
        <f>IF(H133="F",0,G133)</f>
        <v/>
      </c>
    </row>
    <row r="134">
      <c r="A134" s="2" t="inlineStr">
        <is>
          <t>m240108</t>
        </is>
      </c>
      <c r="B134" s="2">
        <f>IFERROR(VLOOKUP(A134,Students!$A:$B,2,FALSE),"")</f>
        <v/>
      </c>
      <c r="C134" s="2" t="inlineStr">
        <is>
          <t>Fall 2024</t>
        </is>
      </c>
      <c r="D134" s="2" t="inlineStr">
        <is>
          <t>Semester 1</t>
        </is>
      </c>
      <c r="E134" s="2" t="inlineStr">
        <is>
          <t>PHY 101</t>
        </is>
      </c>
      <c r="F134" s="2">
        <f>IFERROR(VLOOKUP(E134,Courses!$A:$C,2,FALSE),"")</f>
        <v/>
      </c>
      <c r="G134" s="2">
        <f>IFERROR(VLOOKUP(E134,Courses!$A:$C,3,FALSE),0)</f>
        <v/>
      </c>
      <c r="H134" s="2" t="inlineStr">
        <is>
          <t>B</t>
        </is>
      </c>
      <c r="I134" s="2" t="n">
        <v>86</v>
      </c>
      <c r="J134" s="2">
        <f>IFERROR(VLOOKUP(H134,'Grade Scale'!$A:$B,2,FALSE),0)</f>
        <v/>
      </c>
      <c r="K134" s="2">
        <f>J134*G134</f>
        <v/>
      </c>
      <c r="L134" s="2">
        <f>IF(H134="F",0,G134)</f>
        <v/>
      </c>
    </row>
    <row r="135">
      <c r="A135" s="2" t="inlineStr">
        <is>
          <t>m240108</t>
        </is>
      </c>
      <c r="B135" s="2">
        <f>IFERROR(VLOOKUP(A135,Students!$A:$B,2,FALSE),"")</f>
        <v/>
      </c>
      <c r="C135" s="2" t="inlineStr">
        <is>
          <t>Fall 2024</t>
        </is>
      </c>
      <c r="D135" s="2" t="inlineStr">
        <is>
          <t>Semester 1</t>
        </is>
      </c>
      <c r="E135" s="2" t="inlineStr">
        <is>
          <t>ENG 101</t>
        </is>
      </c>
      <c r="F135" s="2">
        <f>IFERROR(VLOOKUP(E135,Courses!$A:$C,2,FALSE),"")</f>
        <v/>
      </c>
      <c r="G135" s="2">
        <f>IFERROR(VLOOKUP(E135,Courses!$A:$C,3,FALSE),0)</f>
        <v/>
      </c>
      <c r="H135" s="2" t="inlineStr">
        <is>
          <t>C+</t>
        </is>
      </c>
      <c r="I135" s="2" t="n">
        <v>77</v>
      </c>
      <c r="J135" s="2">
        <f>IFERROR(VLOOKUP(H135,'Grade Scale'!$A:$B,2,FALSE),0)</f>
        <v/>
      </c>
      <c r="K135" s="2">
        <f>J135*G135</f>
        <v/>
      </c>
      <c r="L135" s="2">
        <f>IF(H135="F",0,G135)</f>
        <v/>
      </c>
    </row>
    <row r="136">
      <c r="A136" s="2" t="inlineStr">
        <is>
          <t>m240108</t>
        </is>
      </c>
      <c r="B136" s="2">
        <f>IFERROR(VLOOKUP(A136,Students!$A:$B,2,FALSE),"")</f>
        <v/>
      </c>
      <c r="C136" s="2" t="inlineStr">
        <is>
          <t>Fall 2024</t>
        </is>
      </c>
      <c r="D136" s="2" t="inlineStr">
        <is>
          <t>Semester 1</t>
        </is>
      </c>
      <c r="E136" s="2" t="inlineStr">
        <is>
          <t>CHM 101</t>
        </is>
      </c>
      <c r="F136" s="2">
        <f>IFERROR(VLOOKUP(E136,Courses!$A:$C,2,FALSE),"")</f>
        <v/>
      </c>
      <c r="G136" s="2">
        <f>IFERROR(VLOOKUP(E136,Courses!$A:$C,3,FALSE),0)</f>
        <v/>
      </c>
      <c r="H136" s="2" t="inlineStr">
        <is>
          <t>C+</t>
        </is>
      </c>
      <c r="I136" s="2" t="n">
        <v>78</v>
      </c>
      <c r="J136" s="2">
        <f>IFERROR(VLOOKUP(H136,'Grade Scale'!$A:$B,2,FALSE),0)</f>
        <v/>
      </c>
      <c r="K136" s="2">
        <f>J136*G136</f>
        <v/>
      </c>
      <c r="L136" s="2">
        <f>IF(H136="F",0,G136)</f>
        <v/>
      </c>
    </row>
    <row r="137">
      <c r="A137" s="2" t="inlineStr">
        <is>
          <t>m240108</t>
        </is>
      </c>
      <c r="B137" s="2">
        <f>IFERROR(VLOOKUP(A137,Students!$A:$B,2,FALSE),"")</f>
        <v/>
      </c>
      <c r="C137" s="2" t="inlineStr">
        <is>
          <t>Spring 2025</t>
        </is>
      </c>
      <c r="D137" s="2" t="inlineStr">
        <is>
          <t>Semester 2</t>
        </is>
      </c>
      <c r="E137" s="2" t="inlineStr">
        <is>
          <t>CIV 150</t>
        </is>
      </c>
      <c r="F137" s="2">
        <f>IFERROR(VLOOKUP(E137,Courses!$A:$C,2,FALSE),"")</f>
        <v/>
      </c>
      <c r="G137" s="2">
        <f>IFERROR(VLOOKUP(E137,Courses!$A:$C,3,FALSE),0)</f>
        <v/>
      </c>
      <c r="H137" s="2" t="inlineStr">
        <is>
          <t>C</t>
        </is>
      </c>
      <c r="I137" s="2" t="n">
        <v>76</v>
      </c>
      <c r="J137" s="2">
        <f>IFERROR(VLOOKUP(H137,'Grade Scale'!$A:$B,2,FALSE),0)</f>
        <v/>
      </c>
      <c r="K137" s="2">
        <f>J137*G137</f>
        <v/>
      </c>
      <c r="L137" s="2">
        <f>IF(H137="F",0,G137)</f>
        <v/>
      </c>
    </row>
    <row r="138">
      <c r="A138" s="2" t="inlineStr">
        <is>
          <t>m240108</t>
        </is>
      </c>
      <c r="B138" s="2">
        <f>IFERROR(VLOOKUP(A138,Students!$A:$B,2,FALSE),"")</f>
        <v/>
      </c>
      <c r="C138" s="2" t="inlineStr">
        <is>
          <t>Spring 2025</t>
        </is>
      </c>
      <c r="D138" s="2" t="inlineStr">
        <is>
          <t>Semester 2</t>
        </is>
      </c>
      <c r="E138" s="2" t="inlineStr">
        <is>
          <t>MTH 140</t>
        </is>
      </c>
      <c r="F138" s="2">
        <f>IFERROR(VLOOKUP(E138,Courses!$A:$C,2,FALSE),"")</f>
        <v/>
      </c>
      <c r="G138" s="2">
        <f>IFERROR(VLOOKUP(E138,Courses!$A:$C,3,FALSE),0)</f>
        <v/>
      </c>
      <c r="H138" s="2" t="inlineStr">
        <is>
          <t>B-</t>
        </is>
      </c>
      <c r="I138" s="2" t="n">
        <v>80</v>
      </c>
      <c r="J138" s="2">
        <f>IFERROR(VLOOKUP(H138,'Grade Scale'!$A:$B,2,FALSE),0)</f>
        <v/>
      </c>
      <c r="K138" s="2">
        <f>J138*G138</f>
        <v/>
      </c>
      <c r="L138" s="2">
        <f>IF(H138="F",0,G138)</f>
        <v/>
      </c>
    </row>
    <row r="139">
      <c r="A139" s="2" t="inlineStr">
        <is>
          <t>m240108</t>
        </is>
      </c>
      <c r="B139" s="2">
        <f>IFERROR(VLOOKUP(A139,Students!$A:$B,2,FALSE),"")</f>
        <v/>
      </c>
      <c r="C139" s="2" t="inlineStr">
        <is>
          <t>Spring 2025</t>
        </is>
      </c>
      <c r="D139" s="2" t="inlineStr">
        <is>
          <t>Semester 2</t>
        </is>
      </c>
      <c r="E139" s="2" t="inlineStr">
        <is>
          <t>PHY 102</t>
        </is>
      </c>
      <c r="F139" s="2">
        <f>IFERROR(VLOOKUP(E139,Courses!$A:$C,2,FALSE),"")</f>
        <v/>
      </c>
      <c r="G139" s="2">
        <f>IFERROR(VLOOKUP(E139,Courses!$A:$C,3,FALSE),0)</f>
        <v/>
      </c>
      <c r="H139" s="2" t="inlineStr">
        <is>
          <t>B+</t>
        </is>
      </c>
      <c r="I139" s="2" t="n">
        <v>87</v>
      </c>
      <c r="J139" s="2">
        <f>IFERROR(VLOOKUP(H139,'Grade Scale'!$A:$B,2,FALSE),0)</f>
        <v/>
      </c>
      <c r="K139" s="2">
        <f>J139*G139</f>
        <v/>
      </c>
      <c r="L139" s="2">
        <f>IF(H139="F",0,G139)</f>
        <v/>
      </c>
    </row>
    <row r="140">
      <c r="A140" s="2" t="inlineStr">
        <is>
          <t>m240108</t>
        </is>
      </c>
      <c r="B140" s="2">
        <f>IFERROR(VLOOKUP(A140,Students!$A:$B,2,FALSE),"")</f>
        <v/>
      </c>
      <c r="C140" s="2" t="inlineStr">
        <is>
          <t>Spring 2025</t>
        </is>
      </c>
      <c r="D140" s="2" t="inlineStr">
        <is>
          <t>Semester 2</t>
        </is>
      </c>
      <c r="E140" s="2" t="inlineStr">
        <is>
          <t>ENG 102</t>
        </is>
      </c>
      <c r="F140" s="2">
        <f>IFERROR(VLOOKUP(E140,Courses!$A:$C,2,FALSE),"")</f>
        <v/>
      </c>
      <c r="G140" s="2">
        <f>IFERROR(VLOOKUP(E140,Courses!$A:$C,3,FALSE),0)</f>
        <v/>
      </c>
      <c r="H140" s="2" t="inlineStr">
        <is>
          <t>A-</t>
        </is>
      </c>
      <c r="I140" s="2" t="n">
        <v>91</v>
      </c>
      <c r="J140" s="2">
        <f>IFERROR(VLOOKUP(H140,'Grade Scale'!$A:$B,2,FALSE),0)</f>
        <v/>
      </c>
      <c r="K140" s="2">
        <f>J140*G140</f>
        <v/>
      </c>
      <c r="L140" s="2">
        <f>IF(H140="F",0,G140)</f>
        <v/>
      </c>
    </row>
    <row r="141">
      <c r="A141" s="2" t="inlineStr">
        <is>
          <t>m240108</t>
        </is>
      </c>
      <c r="B141" s="2">
        <f>IFERROR(VLOOKUP(A141,Students!$A:$B,2,FALSE),"")</f>
        <v/>
      </c>
      <c r="C141" s="2" t="inlineStr">
        <is>
          <t>Spring 2025</t>
        </is>
      </c>
      <c r="D141" s="2" t="inlineStr">
        <is>
          <t>Semester 2</t>
        </is>
      </c>
      <c r="E141" s="2" t="inlineStr">
        <is>
          <t>CIV 160</t>
        </is>
      </c>
      <c r="F141" s="2">
        <f>IFERROR(VLOOKUP(E141,Courses!$A:$C,2,FALSE),"")</f>
        <v/>
      </c>
      <c r="G141" s="2">
        <f>IFERROR(VLOOKUP(E141,Courses!$A:$C,3,FALSE),0)</f>
        <v/>
      </c>
      <c r="H141" s="2" t="inlineStr">
        <is>
          <t>C</t>
        </is>
      </c>
      <c r="I141" s="2" t="n">
        <v>76</v>
      </c>
      <c r="J141" s="2">
        <f>IFERROR(VLOOKUP(H141,'Grade Scale'!$A:$B,2,FALSE),0)</f>
        <v/>
      </c>
      <c r="K141" s="2">
        <f>J141*G141</f>
        <v/>
      </c>
      <c r="L141" s="2">
        <f>IF(H141="F",0,G141)</f>
        <v/>
      </c>
    </row>
    <row r="142">
      <c r="A142" s="2" t="inlineStr">
        <is>
          <t>m240108</t>
        </is>
      </c>
      <c r="B142" s="2">
        <f>IFERROR(VLOOKUP(A142,Students!$A:$B,2,FALSE),"")</f>
        <v/>
      </c>
      <c r="C142" s="2" t="inlineStr">
        <is>
          <t>Fall 2025</t>
        </is>
      </c>
      <c r="D142" s="2" t="inlineStr">
        <is>
          <t>Semester 3</t>
        </is>
      </c>
      <c r="E142" s="2" t="inlineStr">
        <is>
          <t>CIV 210</t>
        </is>
      </c>
      <c r="F142" s="2">
        <f>IFERROR(VLOOKUP(E142,Courses!$A:$C,2,FALSE),"")</f>
        <v/>
      </c>
      <c r="G142" s="2">
        <f>IFERROR(VLOOKUP(E142,Courses!$A:$C,3,FALSE),0)</f>
        <v/>
      </c>
      <c r="H142" s="2" t="inlineStr">
        <is>
          <t>C</t>
        </is>
      </c>
      <c r="I142" s="2" t="n">
        <v>76</v>
      </c>
      <c r="J142" s="2">
        <f>IFERROR(VLOOKUP(H142,'Grade Scale'!$A:$B,2,FALSE),0)</f>
        <v/>
      </c>
      <c r="K142" s="2">
        <f>J142*G142</f>
        <v/>
      </c>
      <c r="L142" s="2">
        <f>IF(H142="F",0,G142)</f>
        <v/>
      </c>
    </row>
    <row r="143">
      <c r="A143" s="2" t="inlineStr">
        <is>
          <t>m240108</t>
        </is>
      </c>
      <c r="B143" s="2">
        <f>IFERROR(VLOOKUP(A143,Students!$A:$B,2,FALSE),"")</f>
        <v/>
      </c>
      <c r="C143" s="2" t="inlineStr">
        <is>
          <t>Fall 2025</t>
        </is>
      </c>
      <c r="D143" s="2" t="inlineStr">
        <is>
          <t>Semester 3</t>
        </is>
      </c>
      <c r="E143" s="2" t="inlineStr">
        <is>
          <t>CIV 220</t>
        </is>
      </c>
      <c r="F143" s="2">
        <f>IFERROR(VLOOKUP(E143,Courses!$A:$C,2,FALSE),"")</f>
        <v/>
      </c>
      <c r="G143" s="2">
        <f>IFERROR(VLOOKUP(E143,Courses!$A:$C,3,FALSE),0)</f>
        <v/>
      </c>
      <c r="H143" s="2" t="inlineStr">
        <is>
          <t>C+</t>
        </is>
      </c>
      <c r="I143" s="2" t="n">
        <v>79</v>
      </c>
      <c r="J143" s="2">
        <f>IFERROR(VLOOKUP(H143,'Grade Scale'!$A:$B,2,FALSE),0)</f>
        <v/>
      </c>
      <c r="K143" s="2">
        <f>J143*G143</f>
        <v/>
      </c>
      <c r="L143" s="2">
        <f>IF(H143="F",0,G143)</f>
        <v/>
      </c>
    </row>
    <row r="144">
      <c r="A144" s="2" t="inlineStr">
        <is>
          <t>m240108</t>
        </is>
      </c>
      <c r="B144" s="2">
        <f>IFERROR(VLOOKUP(A144,Students!$A:$B,2,FALSE),"")</f>
        <v/>
      </c>
      <c r="C144" s="2" t="inlineStr">
        <is>
          <t>Fall 2025</t>
        </is>
      </c>
      <c r="D144" s="2" t="inlineStr">
        <is>
          <t>Semester 3</t>
        </is>
      </c>
      <c r="E144" s="2" t="inlineStr">
        <is>
          <t>CIV 230</t>
        </is>
      </c>
      <c r="F144" s="2">
        <f>IFERROR(VLOOKUP(E144,Courses!$A:$C,2,FALSE),"")</f>
        <v/>
      </c>
      <c r="G144" s="2">
        <f>IFERROR(VLOOKUP(E144,Courses!$A:$C,3,FALSE),0)</f>
        <v/>
      </c>
      <c r="H144" s="2" t="inlineStr">
        <is>
          <t>C-</t>
        </is>
      </c>
      <c r="I144" s="2" t="n">
        <v>72</v>
      </c>
      <c r="J144" s="2">
        <f>IFERROR(VLOOKUP(H144,'Grade Scale'!$A:$B,2,FALSE),0)</f>
        <v/>
      </c>
      <c r="K144" s="2">
        <f>J144*G144</f>
        <v/>
      </c>
      <c r="L144" s="2">
        <f>IF(H144="F",0,G144)</f>
        <v/>
      </c>
    </row>
    <row r="145">
      <c r="A145" s="2" t="inlineStr">
        <is>
          <t>m240108</t>
        </is>
      </c>
      <c r="B145" s="2">
        <f>IFERROR(VLOOKUP(A145,Students!$A:$B,2,FALSE),"")</f>
        <v/>
      </c>
      <c r="C145" s="2" t="inlineStr">
        <is>
          <t>Fall 2025</t>
        </is>
      </c>
      <c r="D145" s="2" t="inlineStr">
        <is>
          <t>Semester 3</t>
        </is>
      </c>
      <c r="E145" s="2" t="inlineStr">
        <is>
          <t>MTH 210</t>
        </is>
      </c>
      <c r="F145" s="2">
        <f>IFERROR(VLOOKUP(E145,Courses!$A:$C,2,FALSE),"")</f>
        <v/>
      </c>
      <c r="G145" s="2">
        <f>IFERROR(VLOOKUP(E145,Courses!$A:$C,3,FALSE),0)</f>
        <v/>
      </c>
      <c r="H145" s="2" t="inlineStr">
        <is>
          <t>D+</t>
        </is>
      </c>
      <c r="I145" s="2" t="n">
        <v>67</v>
      </c>
      <c r="J145" s="2">
        <f>IFERROR(VLOOKUP(H145,'Grade Scale'!$A:$B,2,FALSE),0)</f>
        <v/>
      </c>
      <c r="K145" s="2">
        <f>J145*G145</f>
        <v/>
      </c>
      <c r="L145" s="2">
        <f>IF(H145="F",0,G145)</f>
        <v/>
      </c>
    </row>
    <row r="146">
      <c r="A146" s="2" t="inlineStr">
        <is>
          <t>m240108</t>
        </is>
      </c>
      <c r="B146" s="2">
        <f>IFERROR(VLOOKUP(A146,Students!$A:$B,2,FALSE),"")</f>
        <v/>
      </c>
      <c r="C146" s="2" t="inlineStr">
        <is>
          <t>Fall 2025</t>
        </is>
      </c>
      <c r="D146" s="2" t="inlineStr">
        <is>
          <t>Semester 3</t>
        </is>
      </c>
      <c r="E146" s="2" t="inlineStr">
        <is>
          <t>CIV 240</t>
        </is>
      </c>
      <c r="F146" s="2">
        <f>IFERROR(VLOOKUP(E146,Courses!$A:$C,2,FALSE),"")</f>
        <v/>
      </c>
      <c r="G146" s="2">
        <f>IFERROR(VLOOKUP(E146,Courses!$A:$C,3,FALSE),0)</f>
        <v/>
      </c>
      <c r="H146" s="2" t="inlineStr">
        <is>
          <t>B-</t>
        </is>
      </c>
      <c r="I146" s="2" t="n">
        <v>82</v>
      </c>
      <c r="J146" s="2">
        <f>IFERROR(VLOOKUP(H146,'Grade Scale'!$A:$B,2,FALSE),0)</f>
        <v/>
      </c>
      <c r="K146" s="2">
        <f>J146*G146</f>
        <v/>
      </c>
      <c r="L146" s="2">
        <f>IF(H146="F",0,G146)</f>
        <v/>
      </c>
    </row>
    <row r="147">
      <c r="A147" s="2" t="inlineStr">
        <is>
          <t>m240108</t>
        </is>
      </c>
      <c r="B147" s="2">
        <f>IFERROR(VLOOKUP(A147,Students!$A:$B,2,FALSE),"")</f>
        <v/>
      </c>
      <c r="C147" s="2" t="inlineStr">
        <is>
          <t>Spring 2026</t>
        </is>
      </c>
      <c r="D147" s="2" t="inlineStr">
        <is>
          <t>Semester 4</t>
        </is>
      </c>
      <c r="E147" s="2" t="inlineStr">
        <is>
          <t>CIV 250</t>
        </is>
      </c>
      <c r="F147" s="2">
        <f>IFERROR(VLOOKUP(E147,Courses!$A:$C,2,FALSE),"")</f>
        <v/>
      </c>
      <c r="G147" s="2">
        <f>IFERROR(VLOOKUP(E147,Courses!$A:$C,3,FALSE),0)</f>
        <v/>
      </c>
      <c r="H147" s="2" t="inlineStr">
        <is>
          <t>D</t>
        </is>
      </c>
      <c r="I147" s="2" t="n">
        <v>66</v>
      </c>
      <c r="J147" s="2">
        <f>IFERROR(VLOOKUP(H147,'Grade Scale'!$A:$B,2,FALSE),0)</f>
        <v/>
      </c>
      <c r="K147" s="2">
        <f>J147*G147</f>
        <v/>
      </c>
      <c r="L147" s="2">
        <f>IF(H147="F",0,G147)</f>
        <v/>
      </c>
    </row>
    <row r="148">
      <c r="A148" s="2" t="inlineStr">
        <is>
          <t>m240108</t>
        </is>
      </c>
      <c r="B148" s="2">
        <f>IFERROR(VLOOKUP(A148,Students!$A:$B,2,FALSE),"")</f>
        <v/>
      </c>
      <c r="C148" s="2" t="inlineStr">
        <is>
          <t>Spring 2026</t>
        </is>
      </c>
      <c r="D148" s="2" t="inlineStr">
        <is>
          <t>Semester 4</t>
        </is>
      </c>
      <c r="E148" s="2" t="inlineStr">
        <is>
          <t>CIV 260</t>
        </is>
      </c>
      <c r="F148" s="2">
        <f>IFERROR(VLOOKUP(E148,Courses!$A:$C,2,FALSE),"")</f>
        <v/>
      </c>
      <c r="G148" s="2">
        <f>IFERROR(VLOOKUP(E148,Courses!$A:$C,3,FALSE),0)</f>
        <v/>
      </c>
      <c r="H148" s="2" t="inlineStr">
        <is>
          <t>C+</t>
        </is>
      </c>
      <c r="I148" s="2" t="n">
        <v>77</v>
      </c>
      <c r="J148" s="2">
        <f>IFERROR(VLOOKUP(H148,'Grade Scale'!$A:$B,2,FALSE),0)</f>
        <v/>
      </c>
      <c r="K148" s="2">
        <f>J148*G148</f>
        <v/>
      </c>
      <c r="L148" s="2">
        <f>IF(H148="F",0,G148)</f>
        <v/>
      </c>
    </row>
    <row r="149">
      <c r="A149" s="2" t="inlineStr">
        <is>
          <t>m240108</t>
        </is>
      </c>
      <c r="B149" s="2">
        <f>IFERROR(VLOOKUP(A149,Students!$A:$B,2,FALSE),"")</f>
        <v/>
      </c>
      <c r="C149" s="2" t="inlineStr">
        <is>
          <t>Spring 2026</t>
        </is>
      </c>
      <c r="D149" s="2" t="inlineStr">
        <is>
          <t>Semester 4</t>
        </is>
      </c>
      <c r="E149" s="2" t="inlineStr">
        <is>
          <t>CIV 270</t>
        </is>
      </c>
      <c r="F149" s="2">
        <f>IFERROR(VLOOKUP(E149,Courses!$A:$C,2,FALSE),"")</f>
        <v/>
      </c>
      <c r="G149" s="2">
        <f>IFERROR(VLOOKUP(E149,Courses!$A:$C,3,FALSE),0)</f>
        <v/>
      </c>
      <c r="H149" s="2" t="inlineStr">
        <is>
          <t>B</t>
        </is>
      </c>
      <c r="I149" s="2" t="n">
        <v>85</v>
      </c>
      <c r="J149" s="2">
        <f>IFERROR(VLOOKUP(H149,'Grade Scale'!$A:$B,2,FALSE),0)</f>
        <v/>
      </c>
      <c r="K149" s="2">
        <f>J149*G149</f>
        <v/>
      </c>
      <c r="L149" s="2">
        <f>IF(H149="F",0,G149)</f>
        <v/>
      </c>
    </row>
    <row r="150">
      <c r="A150" s="2" t="inlineStr">
        <is>
          <t>m240108</t>
        </is>
      </c>
      <c r="B150" s="2">
        <f>IFERROR(VLOOKUP(A150,Students!$A:$B,2,FALSE),"")</f>
        <v/>
      </c>
      <c r="C150" s="2" t="inlineStr">
        <is>
          <t>Spring 2026</t>
        </is>
      </c>
      <c r="D150" s="2" t="inlineStr">
        <is>
          <t>Semester 4</t>
        </is>
      </c>
      <c r="E150" s="2" t="inlineStr">
        <is>
          <t>CIV 280</t>
        </is>
      </c>
      <c r="F150" s="2">
        <f>IFERROR(VLOOKUP(E150,Courses!$A:$C,2,FALSE),"")</f>
        <v/>
      </c>
      <c r="G150" s="2">
        <f>IFERROR(VLOOKUP(E150,Courses!$A:$C,3,FALSE),0)</f>
        <v/>
      </c>
      <c r="H150" s="2" t="inlineStr">
        <is>
          <t>B-</t>
        </is>
      </c>
      <c r="I150" s="2" t="n">
        <v>82</v>
      </c>
      <c r="J150" s="2">
        <f>IFERROR(VLOOKUP(H150,'Grade Scale'!$A:$B,2,FALSE),0)</f>
        <v/>
      </c>
      <c r="K150" s="2">
        <f>J150*G150</f>
        <v/>
      </c>
      <c r="L150" s="2">
        <f>IF(H150="F",0,G150)</f>
        <v/>
      </c>
    </row>
    <row r="151">
      <c r="A151" s="2" t="inlineStr">
        <is>
          <t>m240108</t>
        </is>
      </c>
      <c r="B151" s="2">
        <f>IFERROR(VLOOKUP(A151,Students!$A:$B,2,FALSE),"")</f>
        <v/>
      </c>
      <c r="C151" s="2" t="inlineStr">
        <is>
          <t>Spring 2026</t>
        </is>
      </c>
      <c r="D151" s="2" t="inlineStr">
        <is>
          <t>Semester 4</t>
        </is>
      </c>
      <c r="E151" s="2" t="inlineStr">
        <is>
          <t>CIV 290</t>
        </is>
      </c>
      <c r="F151" s="2">
        <f>IFERROR(VLOOKUP(E151,Courses!$A:$C,2,FALSE),"")</f>
        <v/>
      </c>
      <c r="G151" s="2">
        <f>IFERROR(VLOOKUP(E151,Courses!$A:$C,3,FALSE),0)</f>
        <v/>
      </c>
      <c r="H151" s="2" t="inlineStr">
        <is>
          <t>C-</t>
        </is>
      </c>
      <c r="I151" s="2" t="n">
        <v>72</v>
      </c>
      <c r="J151" s="2">
        <f>IFERROR(VLOOKUP(H151,'Grade Scale'!$A:$B,2,FALSE),0)</f>
        <v/>
      </c>
      <c r="K151" s="2">
        <f>J151*G151</f>
        <v/>
      </c>
      <c r="L151" s="2">
        <f>IF(H151="F",0,G151)</f>
        <v/>
      </c>
    </row>
    <row r="152">
      <c r="A152" s="2" t="inlineStr">
        <is>
          <t>m250201</t>
        </is>
      </c>
      <c r="B152" s="2">
        <f>IFERROR(VLOOKUP(A152,Students!$A:$B,2,FALSE),"")</f>
        <v/>
      </c>
      <c r="C152" s="2" t="inlineStr">
        <is>
          <t>Spring 2025</t>
        </is>
      </c>
      <c r="D152" s="2" t="inlineStr">
        <is>
          <t>Semester 1</t>
        </is>
      </c>
      <c r="E152" s="2" t="inlineStr">
        <is>
          <t>CSE 101</t>
        </is>
      </c>
      <c r="F152" s="2">
        <f>IFERROR(VLOOKUP(E152,Courses!$A:$C,2,FALSE),"")</f>
        <v/>
      </c>
      <c r="G152" s="2">
        <f>IFERROR(VLOOKUP(E152,Courses!$A:$C,3,FALSE),0)</f>
        <v/>
      </c>
      <c r="H152" s="2" t="inlineStr">
        <is>
          <t>B+</t>
        </is>
      </c>
      <c r="I152" s="2" t="n">
        <v>89</v>
      </c>
      <c r="J152" s="2">
        <f>IFERROR(VLOOKUP(H152,'Grade Scale'!$A:$B,2,FALSE),0)</f>
        <v/>
      </c>
      <c r="K152" s="2">
        <f>J152*G152</f>
        <v/>
      </c>
      <c r="L152" s="2">
        <f>IF(H152="F",0,G152)</f>
        <v/>
      </c>
    </row>
    <row r="153">
      <c r="A153" s="2" t="inlineStr">
        <is>
          <t>m250201</t>
        </is>
      </c>
      <c r="B153" s="2">
        <f>IFERROR(VLOOKUP(A153,Students!$A:$B,2,FALSE),"")</f>
        <v/>
      </c>
      <c r="C153" s="2" t="inlineStr">
        <is>
          <t>Spring 2025</t>
        </is>
      </c>
      <c r="D153" s="2" t="inlineStr">
        <is>
          <t>Semester 1</t>
        </is>
      </c>
      <c r="E153" s="2" t="inlineStr">
        <is>
          <t>MTH 110</t>
        </is>
      </c>
      <c r="F153" s="2">
        <f>IFERROR(VLOOKUP(E153,Courses!$A:$C,2,FALSE),"")</f>
        <v/>
      </c>
      <c r="G153" s="2">
        <f>IFERROR(VLOOKUP(E153,Courses!$A:$C,3,FALSE),0)</f>
        <v/>
      </c>
      <c r="H153" s="2" t="inlineStr">
        <is>
          <t>A-</t>
        </is>
      </c>
      <c r="I153" s="2" t="n">
        <v>90</v>
      </c>
      <c r="J153" s="2">
        <f>IFERROR(VLOOKUP(H153,'Grade Scale'!$A:$B,2,FALSE),0)</f>
        <v/>
      </c>
      <c r="K153" s="2">
        <f>J153*G153</f>
        <v/>
      </c>
      <c r="L153" s="2">
        <f>IF(H153="F",0,G153)</f>
        <v/>
      </c>
    </row>
    <row r="154">
      <c r="A154" s="2" t="inlineStr">
        <is>
          <t>m250201</t>
        </is>
      </c>
      <c r="B154" s="2">
        <f>IFERROR(VLOOKUP(A154,Students!$A:$B,2,FALSE),"")</f>
        <v/>
      </c>
      <c r="C154" s="2" t="inlineStr">
        <is>
          <t>Spring 2025</t>
        </is>
      </c>
      <c r="D154" s="2" t="inlineStr">
        <is>
          <t>Semester 1</t>
        </is>
      </c>
      <c r="E154" s="2" t="inlineStr">
        <is>
          <t>CSE 120</t>
        </is>
      </c>
      <c r="F154" s="2">
        <f>IFERROR(VLOOKUP(E154,Courses!$A:$C,2,FALSE),"")</f>
        <v/>
      </c>
      <c r="G154" s="2">
        <f>IFERROR(VLOOKUP(E154,Courses!$A:$C,3,FALSE),0)</f>
        <v/>
      </c>
      <c r="H154" s="2" t="inlineStr">
        <is>
          <t>A</t>
        </is>
      </c>
      <c r="I154" s="2" t="n">
        <v>99</v>
      </c>
      <c r="J154" s="2">
        <f>IFERROR(VLOOKUP(H154,'Grade Scale'!$A:$B,2,FALSE),0)</f>
        <v/>
      </c>
      <c r="K154" s="2">
        <f>J154*G154</f>
        <v/>
      </c>
      <c r="L154" s="2">
        <f>IF(H154="F",0,G154)</f>
        <v/>
      </c>
    </row>
    <row r="155">
      <c r="A155" s="2" t="inlineStr">
        <is>
          <t>m250201</t>
        </is>
      </c>
      <c r="B155" s="2">
        <f>IFERROR(VLOOKUP(A155,Students!$A:$B,2,FALSE),"")</f>
        <v/>
      </c>
      <c r="C155" s="2" t="inlineStr">
        <is>
          <t>Spring 2025</t>
        </is>
      </c>
      <c r="D155" s="2" t="inlineStr">
        <is>
          <t>Semester 1</t>
        </is>
      </c>
      <c r="E155" s="2" t="inlineStr">
        <is>
          <t>ENG 101</t>
        </is>
      </c>
      <c r="F155" s="2">
        <f>IFERROR(VLOOKUP(E155,Courses!$A:$C,2,FALSE),"")</f>
        <v/>
      </c>
      <c r="G155" s="2">
        <f>IFERROR(VLOOKUP(E155,Courses!$A:$C,3,FALSE),0)</f>
        <v/>
      </c>
      <c r="H155" s="2" t="inlineStr">
        <is>
          <t>A</t>
        </is>
      </c>
      <c r="I155" s="2" t="n">
        <v>97</v>
      </c>
      <c r="J155" s="2">
        <f>IFERROR(VLOOKUP(H155,'Grade Scale'!$A:$B,2,FALSE),0)</f>
        <v/>
      </c>
      <c r="K155" s="2">
        <f>J155*G155</f>
        <v/>
      </c>
      <c r="L155" s="2">
        <f>IF(H155="F",0,G155)</f>
        <v/>
      </c>
    </row>
    <row r="156">
      <c r="A156" s="2" t="inlineStr">
        <is>
          <t>m250201</t>
        </is>
      </c>
      <c r="B156" s="2">
        <f>IFERROR(VLOOKUP(A156,Students!$A:$B,2,FALSE),"")</f>
        <v/>
      </c>
      <c r="C156" s="2" t="inlineStr">
        <is>
          <t>Spring 2025</t>
        </is>
      </c>
      <c r="D156" s="2" t="inlineStr">
        <is>
          <t>Semester 1</t>
        </is>
      </c>
      <c r="E156" s="2" t="inlineStr">
        <is>
          <t>MTH 120</t>
        </is>
      </c>
      <c r="F156" s="2">
        <f>IFERROR(VLOOKUP(E156,Courses!$A:$C,2,FALSE),"")</f>
        <v/>
      </c>
      <c r="G156" s="2">
        <f>IFERROR(VLOOKUP(E156,Courses!$A:$C,3,FALSE),0)</f>
        <v/>
      </c>
      <c r="H156" s="2" t="inlineStr">
        <is>
          <t>A</t>
        </is>
      </c>
      <c r="I156" s="2" t="n">
        <v>94</v>
      </c>
      <c r="J156" s="2">
        <f>IFERROR(VLOOKUP(H156,'Grade Scale'!$A:$B,2,FALSE),0)</f>
        <v/>
      </c>
      <c r="K156" s="2">
        <f>J156*G156</f>
        <v/>
      </c>
      <c r="L156" s="2">
        <f>IF(H156="F",0,G156)</f>
        <v/>
      </c>
    </row>
    <row r="157">
      <c r="A157" s="2" t="inlineStr">
        <is>
          <t>m250201</t>
        </is>
      </c>
      <c r="B157" s="2">
        <f>IFERROR(VLOOKUP(A157,Students!$A:$B,2,FALSE),"")</f>
        <v/>
      </c>
      <c r="C157" s="2" t="inlineStr">
        <is>
          <t>Fall 2025</t>
        </is>
      </c>
      <c r="D157" s="2" t="inlineStr">
        <is>
          <t>Semester 2</t>
        </is>
      </c>
      <c r="E157" s="2" t="inlineStr">
        <is>
          <t>CSE 150</t>
        </is>
      </c>
      <c r="F157" s="2">
        <f>IFERROR(VLOOKUP(E157,Courses!$A:$C,2,FALSE),"")</f>
        <v/>
      </c>
      <c r="G157" s="2">
        <f>IFERROR(VLOOKUP(E157,Courses!$A:$C,3,FALSE),0)</f>
        <v/>
      </c>
      <c r="H157" s="2" t="inlineStr">
        <is>
          <t>A-</t>
        </is>
      </c>
      <c r="I157" s="2" t="n">
        <v>91</v>
      </c>
      <c r="J157" s="2">
        <f>IFERROR(VLOOKUP(H157,'Grade Scale'!$A:$B,2,FALSE),0)</f>
        <v/>
      </c>
      <c r="K157" s="2">
        <f>J157*G157</f>
        <v/>
      </c>
      <c r="L157" s="2">
        <f>IF(H157="F",0,G157)</f>
        <v/>
      </c>
    </row>
    <row r="158">
      <c r="A158" s="2" t="inlineStr">
        <is>
          <t>m250201</t>
        </is>
      </c>
      <c r="B158" s="2">
        <f>IFERROR(VLOOKUP(A158,Students!$A:$B,2,FALSE),"")</f>
        <v/>
      </c>
      <c r="C158" s="2" t="inlineStr">
        <is>
          <t>Fall 2025</t>
        </is>
      </c>
      <c r="D158" s="2" t="inlineStr">
        <is>
          <t>Semester 2</t>
        </is>
      </c>
      <c r="E158" s="2" t="inlineStr">
        <is>
          <t>CSE 160</t>
        </is>
      </c>
      <c r="F158" s="2">
        <f>IFERROR(VLOOKUP(E158,Courses!$A:$C,2,FALSE),"")</f>
        <v/>
      </c>
      <c r="G158" s="2">
        <f>IFERROR(VLOOKUP(E158,Courses!$A:$C,3,FALSE),0)</f>
        <v/>
      </c>
      <c r="H158" s="2" t="inlineStr">
        <is>
          <t>B</t>
        </is>
      </c>
      <c r="I158" s="2" t="n">
        <v>83</v>
      </c>
      <c r="J158" s="2">
        <f>IFERROR(VLOOKUP(H158,'Grade Scale'!$A:$B,2,FALSE),0)</f>
        <v/>
      </c>
      <c r="K158" s="2">
        <f>J158*G158</f>
        <v/>
      </c>
      <c r="L158" s="2">
        <f>IF(H158="F",0,G158)</f>
        <v/>
      </c>
    </row>
    <row r="159">
      <c r="A159" s="2" t="inlineStr">
        <is>
          <t>m250201</t>
        </is>
      </c>
      <c r="B159" s="2">
        <f>IFERROR(VLOOKUP(A159,Students!$A:$B,2,FALSE),"")</f>
        <v/>
      </c>
      <c r="C159" s="2" t="inlineStr">
        <is>
          <t>Fall 2025</t>
        </is>
      </c>
      <c r="D159" s="2" t="inlineStr">
        <is>
          <t>Semester 2</t>
        </is>
      </c>
      <c r="E159" s="2" t="inlineStr">
        <is>
          <t>CSE 170</t>
        </is>
      </c>
      <c r="F159" s="2">
        <f>IFERROR(VLOOKUP(E159,Courses!$A:$C,2,FALSE),"")</f>
        <v/>
      </c>
      <c r="G159" s="2">
        <f>IFERROR(VLOOKUP(E159,Courses!$A:$C,3,FALSE),0)</f>
        <v/>
      </c>
      <c r="H159" s="2" t="inlineStr">
        <is>
          <t>A</t>
        </is>
      </c>
      <c r="I159" s="2" t="n">
        <v>97</v>
      </c>
      <c r="J159" s="2">
        <f>IFERROR(VLOOKUP(H159,'Grade Scale'!$A:$B,2,FALSE),0)</f>
        <v/>
      </c>
      <c r="K159" s="2">
        <f>J159*G159</f>
        <v/>
      </c>
      <c r="L159" s="2">
        <f>IF(H159="F",0,G159)</f>
        <v/>
      </c>
    </row>
    <row r="160">
      <c r="A160" s="2" t="inlineStr">
        <is>
          <t>m250201</t>
        </is>
      </c>
      <c r="B160" s="2">
        <f>IFERROR(VLOOKUP(A160,Students!$A:$B,2,FALSE),"")</f>
        <v/>
      </c>
      <c r="C160" s="2" t="inlineStr">
        <is>
          <t>Fall 2025</t>
        </is>
      </c>
      <c r="D160" s="2" t="inlineStr">
        <is>
          <t>Semester 2</t>
        </is>
      </c>
      <c r="E160" s="2" t="inlineStr">
        <is>
          <t>ENG 102</t>
        </is>
      </c>
      <c r="F160" s="2">
        <f>IFERROR(VLOOKUP(E160,Courses!$A:$C,2,FALSE),"")</f>
        <v/>
      </c>
      <c r="G160" s="2">
        <f>IFERROR(VLOOKUP(E160,Courses!$A:$C,3,FALSE),0)</f>
        <v/>
      </c>
      <c r="H160" s="2" t="inlineStr">
        <is>
          <t>A</t>
        </is>
      </c>
      <c r="I160" s="2" t="n">
        <v>96</v>
      </c>
      <c r="J160" s="2">
        <f>IFERROR(VLOOKUP(H160,'Grade Scale'!$A:$B,2,FALSE),0)</f>
        <v/>
      </c>
      <c r="K160" s="2">
        <f>J160*G160</f>
        <v/>
      </c>
      <c r="L160" s="2">
        <f>IF(H160="F",0,G160)</f>
        <v/>
      </c>
    </row>
    <row r="161">
      <c r="A161" s="2" t="inlineStr">
        <is>
          <t>m250201</t>
        </is>
      </c>
      <c r="B161" s="2">
        <f>IFERROR(VLOOKUP(A161,Students!$A:$B,2,FALSE),"")</f>
        <v/>
      </c>
      <c r="C161" s="2" t="inlineStr">
        <is>
          <t>Fall 2025</t>
        </is>
      </c>
      <c r="D161" s="2" t="inlineStr">
        <is>
          <t>Semester 2</t>
        </is>
      </c>
      <c r="E161" s="2" t="inlineStr">
        <is>
          <t>MTH 130</t>
        </is>
      </c>
      <c r="F161" s="2">
        <f>IFERROR(VLOOKUP(E161,Courses!$A:$C,2,FALSE),"")</f>
        <v/>
      </c>
      <c r="G161" s="2">
        <f>IFERROR(VLOOKUP(E161,Courses!$A:$C,3,FALSE),0)</f>
        <v/>
      </c>
      <c r="H161" s="2" t="inlineStr">
        <is>
          <t>A-</t>
        </is>
      </c>
      <c r="I161" s="2" t="n">
        <v>90</v>
      </c>
      <c r="J161" s="2">
        <f>IFERROR(VLOOKUP(H161,'Grade Scale'!$A:$B,2,FALSE),0)</f>
        <v/>
      </c>
      <c r="K161" s="2">
        <f>J161*G161</f>
        <v/>
      </c>
      <c r="L161" s="2">
        <f>IF(H161="F",0,G161)</f>
        <v/>
      </c>
    </row>
    <row r="162">
      <c r="A162" s="2" t="inlineStr">
        <is>
          <t>m250201</t>
        </is>
      </c>
      <c r="B162" s="2">
        <f>IFERROR(VLOOKUP(A162,Students!$A:$B,2,FALSE),"")</f>
        <v/>
      </c>
      <c r="C162" s="2" t="inlineStr">
        <is>
          <t>Spring 2026</t>
        </is>
      </c>
      <c r="D162" s="2" t="inlineStr">
        <is>
          <t>Semester 3</t>
        </is>
      </c>
      <c r="E162" s="2" t="inlineStr">
        <is>
          <t>CSE 210</t>
        </is>
      </c>
      <c r="F162" s="2">
        <f>IFERROR(VLOOKUP(E162,Courses!$A:$C,2,FALSE),"")</f>
        <v/>
      </c>
      <c r="G162" s="2">
        <f>IFERROR(VLOOKUP(E162,Courses!$A:$C,3,FALSE),0)</f>
        <v/>
      </c>
      <c r="H162" s="2" t="inlineStr">
        <is>
          <t>B+</t>
        </is>
      </c>
      <c r="I162" s="2" t="n">
        <v>87</v>
      </c>
      <c r="J162" s="2">
        <f>IFERROR(VLOOKUP(H162,'Grade Scale'!$A:$B,2,FALSE),0)</f>
        <v/>
      </c>
      <c r="K162" s="2">
        <f>J162*G162</f>
        <v/>
      </c>
      <c r="L162" s="2">
        <f>IF(H162="F",0,G162)</f>
        <v/>
      </c>
    </row>
    <row r="163">
      <c r="A163" s="2" t="inlineStr">
        <is>
          <t>m250201</t>
        </is>
      </c>
      <c r="B163" s="2">
        <f>IFERROR(VLOOKUP(A163,Students!$A:$B,2,FALSE),"")</f>
        <v/>
      </c>
      <c r="C163" s="2" t="inlineStr">
        <is>
          <t>Spring 2026</t>
        </is>
      </c>
      <c r="D163" s="2" t="inlineStr">
        <is>
          <t>Semester 3</t>
        </is>
      </c>
      <c r="E163" s="2" t="inlineStr">
        <is>
          <t>CSE 220</t>
        </is>
      </c>
      <c r="F163" s="2">
        <f>IFERROR(VLOOKUP(E163,Courses!$A:$C,2,FALSE),"")</f>
        <v/>
      </c>
      <c r="G163" s="2">
        <f>IFERROR(VLOOKUP(E163,Courses!$A:$C,3,FALSE),0)</f>
        <v/>
      </c>
      <c r="H163" s="2" t="inlineStr">
        <is>
          <t>A</t>
        </is>
      </c>
      <c r="I163" s="2" t="n">
        <v>94</v>
      </c>
      <c r="J163" s="2">
        <f>IFERROR(VLOOKUP(H163,'Grade Scale'!$A:$B,2,FALSE),0)</f>
        <v/>
      </c>
      <c r="K163" s="2">
        <f>J163*G163</f>
        <v/>
      </c>
      <c r="L163" s="2">
        <f>IF(H163="F",0,G163)</f>
        <v/>
      </c>
    </row>
    <row r="164">
      <c r="A164" s="2" t="inlineStr">
        <is>
          <t>m250201</t>
        </is>
      </c>
      <c r="B164" s="2">
        <f>IFERROR(VLOOKUP(A164,Students!$A:$B,2,FALSE),"")</f>
        <v/>
      </c>
      <c r="C164" s="2" t="inlineStr">
        <is>
          <t>Spring 2026</t>
        </is>
      </c>
      <c r="D164" s="2" t="inlineStr">
        <is>
          <t>Semester 3</t>
        </is>
      </c>
      <c r="E164" s="2" t="inlineStr">
        <is>
          <t>CSE 230</t>
        </is>
      </c>
      <c r="F164" s="2">
        <f>IFERROR(VLOOKUP(E164,Courses!$A:$C,2,FALSE),"")</f>
        <v/>
      </c>
      <c r="G164" s="2">
        <f>IFERROR(VLOOKUP(E164,Courses!$A:$C,3,FALSE),0)</f>
        <v/>
      </c>
      <c r="H164" s="2" t="inlineStr">
        <is>
          <t>B+</t>
        </is>
      </c>
      <c r="I164" s="2" t="n">
        <v>88</v>
      </c>
      <c r="J164" s="2">
        <f>IFERROR(VLOOKUP(H164,'Grade Scale'!$A:$B,2,FALSE),0)</f>
        <v/>
      </c>
      <c r="K164" s="2">
        <f>J164*G164</f>
        <v/>
      </c>
      <c r="L164" s="2">
        <f>IF(H164="F",0,G164)</f>
        <v/>
      </c>
    </row>
    <row r="165">
      <c r="A165" s="2" t="inlineStr">
        <is>
          <t>m250201</t>
        </is>
      </c>
      <c r="B165" s="2">
        <f>IFERROR(VLOOKUP(A165,Students!$A:$B,2,FALSE),"")</f>
        <v/>
      </c>
      <c r="C165" s="2" t="inlineStr">
        <is>
          <t>Spring 2026</t>
        </is>
      </c>
      <c r="D165" s="2" t="inlineStr">
        <is>
          <t>Semester 3</t>
        </is>
      </c>
      <c r="E165" s="2" t="inlineStr">
        <is>
          <t>CSE 240</t>
        </is>
      </c>
      <c r="F165" s="2">
        <f>IFERROR(VLOOKUP(E165,Courses!$A:$C,2,FALSE),"")</f>
        <v/>
      </c>
      <c r="G165" s="2">
        <f>IFERROR(VLOOKUP(E165,Courses!$A:$C,3,FALSE),0)</f>
        <v/>
      </c>
      <c r="H165" s="2" t="inlineStr">
        <is>
          <t>A-</t>
        </is>
      </c>
      <c r="I165" s="2" t="n">
        <v>92</v>
      </c>
      <c r="J165" s="2">
        <f>IFERROR(VLOOKUP(H165,'Grade Scale'!$A:$B,2,FALSE),0)</f>
        <v/>
      </c>
      <c r="K165" s="2">
        <f>J165*G165</f>
        <v/>
      </c>
      <c r="L165" s="2">
        <f>IF(H165="F",0,G165)</f>
        <v/>
      </c>
    </row>
    <row r="166">
      <c r="A166" s="2" t="inlineStr">
        <is>
          <t>m250201</t>
        </is>
      </c>
      <c r="B166" s="2">
        <f>IFERROR(VLOOKUP(A166,Students!$A:$B,2,FALSE),"")</f>
        <v/>
      </c>
      <c r="C166" s="2" t="inlineStr">
        <is>
          <t>Spring 2026</t>
        </is>
      </c>
      <c r="D166" s="2" t="inlineStr">
        <is>
          <t>Semester 3</t>
        </is>
      </c>
      <c r="E166" s="2" t="inlineStr">
        <is>
          <t>STA 201</t>
        </is>
      </c>
      <c r="F166" s="2">
        <f>IFERROR(VLOOKUP(E166,Courses!$A:$C,2,FALSE),"")</f>
        <v/>
      </c>
      <c r="G166" s="2">
        <f>IFERROR(VLOOKUP(E166,Courses!$A:$C,3,FALSE),0)</f>
        <v/>
      </c>
      <c r="H166" s="2" t="inlineStr">
        <is>
          <t>A</t>
        </is>
      </c>
      <c r="I166" s="2" t="n">
        <v>96</v>
      </c>
      <c r="J166" s="2">
        <f>IFERROR(VLOOKUP(H166,'Grade Scale'!$A:$B,2,FALSE),0)</f>
        <v/>
      </c>
      <c r="K166" s="2">
        <f>J166*G166</f>
        <v/>
      </c>
      <c r="L166" s="2">
        <f>IF(H166="F",0,G166)</f>
        <v/>
      </c>
    </row>
    <row r="167">
      <c r="A167" s="2" t="inlineStr">
        <is>
          <t>m250202</t>
        </is>
      </c>
      <c r="B167" s="2">
        <f>IFERROR(VLOOKUP(A167,Students!$A:$B,2,FALSE),"")</f>
        <v/>
      </c>
      <c r="C167" s="2" t="inlineStr">
        <is>
          <t>Spring 2025</t>
        </is>
      </c>
      <c r="D167" s="2" t="inlineStr">
        <is>
          <t>Semester 1</t>
        </is>
      </c>
      <c r="E167" s="2" t="inlineStr">
        <is>
          <t>MBA 501</t>
        </is>
      </c>
      <c r="F167" s="2">
        <f>IFERROR(VLOOKUP(E167,Courses!$A:$C,2,FALSE),"")</f>
        <v/>
      </c>
      <c r="G167" s="2">
        <f>IFERROR(VLOOKUP(E167,Courses!$A:$C,3,FALSE),0)</f>
        <v/>
      </c>
      <c r="H167" s="2" t="inlineStr">
        <is>
          <t>A-</t>
        </is>
      </c>
      <c r="I167" s="2" t="n">
        <v>91</v>
      </c>
      <c r="J167" s="2">
        <f>IFERROR(VLOOKUP(H167,'Grade Scale'!$A:$B,2,FALSE),0)</f>
        <v/>
      </c>
      <c r="K167" s="2">
        <f>J167*G167</f>
        <v/>
      </c>
      <c r="L167" s="2">
        <f>IF(H167="F",0,G167)</f>
        <v/>
      </c>
    </row>
    <row r="168">
      <c r="A168" s="2" t="inlineStr">
        <is>
          <t>m250202</t>
        </is>
      </c>
      <c r="B168" s="2">
        <f>IFERROR(VLOOKUP(A168,Students!$A:$B,2,FALSE),"")</f>
        <v/>
      </c>
      <c r="C168" s="2" t="inlineStr">
        <is>
          <t>Spring 2025</t>
        </is>
      </c>
      <c r="D168" s="2" t="inlineStr">
        <is>
          <t>Semester 1</t>
        </is>
      </c>
      <c r="E168" s="2" t="inlineStr">
        <is>
          <t>MBA 510</t>
        </is>
      </c>
      <c r="F168" s="2">
        <f>IFERROR(VLOOKUP(E168,Courses!$A:$C,2,FALSE),"")</f>
        <v/>
      </c>
      <c r="G168" s="2">
        <f>IFERROR(VLOOKUP(E168,Courses!$A:$C,3,FALSE),0)</f>
        <v/>
      </c>
      <c r="H168" s="2" t="inlineStr">
        <is>
          <t>A</t>
        </is>
      </c>
      <c r="I168" s="2" t="n">
        <v>94</v>
      </c>
      <c r="J168" s="2">
        <f>IFERROR(VLOOKUP(H168,'Grade Scale'!$A:$B,2,FALSE),0)</f>
        <v/>
      </c>
      <c r="K168" s="2">
        <f>J168*G168</f>
        <v/>
      </c>
      <c r="L168" s="2">
        <f>IF(H168="F",0,G168)</f>
        <v/>
      </c>
    </row>
    <row r="169">
      <c r="A169" s="2" t="inlineStr">
        <is>
          <t>m250202</t>
        </is>
      </c>
      <c r="B169" s="2">
        <f>IFERROR(VLOOKUP(A169,Students!$A:$B,2,FALSE),"")</f>
        <v/>
      </c>
      <c r="C169" s="2" t="inlineStr">
        <is>
          <t>Spring 2025</t>
        </is>
      </c>
      <c r="D169" s="2" t="inlineStr">
        <is>
          <t>Semester 1</t>
        </is>
      </c>
      <c r="E169" s="2" t="inlineStr">
        <is>
          <t>MBA 520</t>
        </is>
      </c>
      <c r="F169" s="2">
        <f>IFERROR(VLOOKUP(E169,Courses!$A:$C,2,FALSE),"")</f>
        <v/>
      </c>
      <c r="G169" s="2">
        <f>IFERROR(VLOOKUP(E169,Courses!$A:$C,3,FALSE),0)</f>
        <v/>
      </c>
      <c r="H169" s="2" t="inlineStr">
        <is>
          <t>A-</t>
        </is>
      </c>
      <c r="I169" s="2" t="n">
        <v>90</v>
      </c>
      <c r="J169" s="2">
        <f>IFERROR(VLOOKUP(H169,'Grade Scale'!$A:$B,2,FALSE),0)</f>
        <v/>
      </c>
      <c r="K169" s="2">
        <f>J169*G169</f>
        <v/>
      </c>
      <c r="L169" s="2">
        <f>IF(H169="F",0,G169)</f>
        <v/>
      </c>
    </row>
    <row r="170">
      <c r="A170" s="2" t="inlineStr">
        <is>
          <t>m250202</t>
        </is>
      </c>
      <c r="B170" s="2">
        <f>IFERROR(VLOOKUP(A170,Students!$A:$B,2,FALSE),"")</f>
        <v/>
      </c>
      <c r="C170" s="2" t="inlineStr">
        <is>
          <t>Spring 2025</t>
        </is>
      </c>
      <c r="D170" s="2" t="inlineStr">
        <is>
          <t>Semester 1</t>
        </is>
      </c>
      <c r="E170" s="2" t="inlineStr">
        <is>
          <t>MBA 530</t>
        </is>
      </c>
      <c r="F170" s="2">
        <f>IFERROR(VLOOKUP(E170,Courses!$A:$C,2,FALSE),"")</f>
        <v/>
      </c>
      <c r="G170" s="2">
        <f>IFERROR(VLOOKUP(E170,Courses!$A:$C,3,FALSE),0)</f>
        <v/>
      </c>
      <c r="H170" s="2" t="inlineStr">
        <is>
          <t>B+</t>
        </is>
      </c>
      <c r="I170" s="2" t="n">
        <v>87</v>
      </c>
      <c r="J170" s="2">
        <f>IFERROR(VLOOKUP(H170,'Grade Scale'!$A:$B,2,FALSE),0)</f>
        <v/>
      </c>
      <c r="K170" s="2">
        <f>J170*G170</f>
        <v/>
      </c>
      <c r="L170" s="2">
        <f>IF(H170="F",0,G170)</f>
        <v/>
      </c>
    </row>
    <row r="171">
      <c r="A171" s="2" t="inlineStr">
        <is>
          <t>m250202</t>
        </is>
      </c>
      <c r="B171" s="2">
        <f>IFERROR(VLOOKUP(A171,Students!$A:$B,2,FALSE),"")</f>
        <v/>
      </c>
      <c r="C171" s="2" t="inlineStr">
        <is>
          <t>Spring 2025</t>
        </is>
      </c>
      <c r="D171" s="2" t="inlineStr">
        <is>
          <t>Semester 1</t>
        </is>
      </c>
      <c r="E171" s="2" t="inlineStr">
        <is>
          <t>MBA 540</t>
        </is>
      </c>
      <c r="F171" s="2">
        <f>IFERROR(VLOOKUP(E171,Courses!$A:$C,2,FALSE),"")</f>
        <v/>
      </c>
      <c r="G171" s="2">
        <f>IFERROR(VLOOKUP(E171,Courses!$A:$C,3,FALSE),0)</f>
        <v/>
      </c>
      <c r="H171" s="2" t="inlineStr">
        <is>
          <t>A-</t>
        </is>
      </c>
      <c r="I171" s="2" t="n">
        <v>92</v>
      </c>
      <c r="J171" s="2">
        <f>IFERROR(VLOOKUP(H171,'Grade Scale'!$A:$B,2,FALSE),0)</f>
        <v/>
      </c>
      <c r="K171" s="2">
        <f>J171*G171</f>
        <v/>
      </c>
      <c r="L171" s="2">
        <f>IF(H171="F",0,G171)</f>
        <v/>
      </c>
    </row>
    <row r="172">
      <c r="A172" s="2" t="inlineStr">
        <is>
          <t>m250202</t>
        </is>
      </c>
      <c r="B172" s="2">
        <f>IFERROR(VLOOKUP(A172,Students!$A:$B,2,FALSE),"")</f>
        <v/>
      </c>
      <c r="C172" s="2" t="inlineStr">
        <is>
          <t>Fall 2025</t>
        </is>
      </c>
      <c r="D172" s="2" t="inlineStr">
        <is>
          <t>Semester 2</t>
        </is>
      </c>
      <c r="E172" s="2" t="inlineStr">
        <is>
          <t>MBA 550</t>
        </is>
      </c>
      <c r="F172" s="2">
        <f>IFERROR(VLOOKUP(E172,Courses!$A:$C,2,FALSE),"")</f>
        <v/>
      </c>
      <c r="G172" s="2">
        <f>IFERROR(VLOOKUP(E172,Courses!$A:$C,3,FALSE),0)</f>
        <v/>
      </c>
      <c r="H172" s="2" t="inlineStr">
        <is>
          <t>B+</t>
        </is>
      </c>
      <c r="I172" s="2" t="n">
        <v>89</v>
      </c>
      <c r="J172" s="2">
        <f>IFERROR(VLOOKUP(H172,'Grade Scale'!$A:$B,2,FALSE),0)</f>
        <v/>
      </c>
      <c r="K172" s="2">
        <f>J172*G172</f>
        <v/>
      </c>
      <c r="L172" s="2">
        <f>IF(H172="F",0,G172)</f>
        <v/>
      </c>
    </row>
    <row r="173">
      <c r="A173" s="2" t="inlineStr">
        <is>
          <t>m250202</t>
        </is>
      </c>
      <c r="B173" s="2">
        <f>IFERROR(VLOOKUP(A173,Students!$A:$B,2,FALSE),"")</f>
        <v/>
      </c>
      <c r="C173" s="2" t="inlineStr">
        <is>
          <t>Fall 2025</t>
        </is>
      </c>
      <c r="D173" s="2" t="inlineStr">
        <is>
          <t>Semester 2</t>
        </is>
      </c>
      <c r="E173" s="2" t="inlineStr">
        <is>
          <t>MBA 560</t>
        </is>
      </c>
      <c r="F173" s="2">
        <f>IFERROR(VLOOKUP(E173,Courses!$A:$C,2,FALSE),"")</f>
        <v/>
      </c>
      <c r="G173" s="2">
        <f>IFERROR(VLOOKUP(E173,Courses!$A:$C,3,FALSE),0)</f>
        <v/>
      </c>
      <c r="H173" s="2" t="inlineStr">
        <is>
          <t>A</t>
        </is>
      </c>
      <c r="I173" s="2" t="n">
        <v>100</v>
      </c>
      <c r="J173" s="2">
        <f>IFERROR(VLOOKUP(H173,'Grade Scale'!$A:$B,2,FALSE),0)</f>
        <v/>
      </c>
      <c r="K173" s="2">
        <f>J173*G173</f>
        <v/>
      </c>
      <c r="L173" s="2">
        <f>IF(H173="F",0,G173)</f>
        <v/>
      </c>
    </row>
    <row r="174">
      <c r="A174" s="2" t="inlineStr">
        <is>
          <t>m250202</t>
        </is>
      </c>
      <c r="B174" s="2">
        <f>IFERROR(VLOOKUP(A174,Students!$A:$B,2,FALSE),"")</f>
        <v/>
      </c>
      <c r="C174" s="2" t="inlineStr">
        <is>
          <t>Fall 2025</t>
        </is>
      </c>
      <c r="D174" s="2" t="inlineStr">
        <is>
          <t>Semester 2</t>
        </is>
      </c>
      <c r="E174" s="2" t="inlineStr">
        <is>
          <t>MBA 570</t>
        </is>
      </c>
      <c r="F174" s="2">
        <f>IFERROR(VLOOKUP(E174,Courses!$A:$C,2,FALSE),"")</f>
        <v/>
      </c>
      <c r="G174" s="2">
        <f>IFERROR(VLOOKUP(E174,Courses!$A:$C,3,FALSE),0)</f>
        <v/>
      </c>
      <c r="H174" s="2" t="inlineStr">
        <is>
          <t>A-</t>
        </is>
      </c>
      <c r="I174" s="2" t="n">
        <v>92</v>
      </c>
      <c r="J174" s="2">
        <f>IFERROR(VLOOKUP(H174,'Grade Scale'!$A:$B,2,FALSE),0)</f>
        <v/>
      </c>
      <c r="K174" s="2">
        <f>J174*G174</f>
        <v/>
      </c>
      <c r="L174" s="2">
        <f>IF(H174="F",0,G174)</f>
        <v/>
      </c>
    </row>
    <row r="175">
      <c r="A175" s="2" t="inlineStr">
        <is>
          <t>m250202</t>
        </is>
      </c>
      <c r="B175" s="2">
        <f>IFERROR(VLOOKUP(A175,Students!$A:$B,2,FALSE),"")</f>
        <v/>
      </c>
      <c r="C175" s="2" t="inlineStr">
        <is>
          <t>Fall 2025</t>
        </is>
      </c>
      <c r="D175" s="2" t="inlineStr">
        <is>
          <t>Semester 2</t>
        </is>
      </c>
      <c r="E175" s="2" t="inlineStr">
        <is>
          <t>MBA 580</t>
        </is>
      </c>
      <c r="F175" s="2">
        <f>IFERROR(VLOOKUP(E175,Courses!$A:$C,2,FALSE),"")</f>
        <v/>
      </c>
      <c r="G175" s="2">
        <f>IFERROR(VLOOKUP(E175,Courses!$A:$C,3,FALSE),0)</f>
        <v/>
      </c>
      <c r="H175" s="2" t="inlineStr">
        <is>
          <t>A-</t>
        </is>
      </c>
      <c r="I175" s="2" t="n">
        <v>91</v>
      </c>
      <c r="J175" s="2">
        <f>IFERROR(VLOOKUP(H175,'Grade Scale'!$A:$B,2,FALSE),0)</f>
        <v/>
      </c>
      <c r="K175" s="2">
        <f>J175*G175</f>
        <v/>
      </c>
      <c r="L175" s="2">
        <f>IF(H175="F",0,G175)</f>
        <v/>
      </c>
    </row>
    <row r="176">
      <c r="A176" s="2" t="inlineStr">
        <is>
          <t>m250202</t>
        </is>
      </c>
      <c r="B176" s="2">
        <f>IFERROR(VLOOKUP(A176,Students!$A:$B,2,FALSE),"")</f>
        <v/>
      </c>
      <c r="C176" s="2" t="inlineStr">
        <is>
          <t>Fall 2025</t>
        </is>
      </c>
      <c r="D176" s="2" t="inlineStr">
        <is>
          <t>Semester 2</t>
        </is>
      </c>
      <c r="E176" s="2" t="inlineStr">
        <is>
          <t>MBA 590</t>
        </is>
      </c>
      <c r="F176" s="2">
        <f>IFERROR(VLOOKUP(E176,Courses!$A:$C,2,FALSE),"")</f>
        <v/>
      </c>
      <c r="G176" s="2">
        <f>IFERROR(VLOOKUP(E176,Courses!$A:$C,3,FALSE),0)</f>
        <v/>
      </c>
      <c r="H176" s="2" t="inlineStr">
        <is>
          <t>A-</t>
        </is>
      </c>
      <c r="I176" s="2" t="n">
        <v>90</v>
      </c>
      <c r="J176" s="2">
        <f>IFERROR(VLOOKUP(H176,'Grade Scale'!$A:$B,2,FALSE),0)</f>
        <v/>
      </c>
      <c r="K176" s="2">
        <f>J176*G176</f>
        <v/>
      </c>
      <c r="L176" s="2">
        <f>IF(H176="F",0,G176)</f>
        <v/>
      </c>
    </row>
    <row r="177">
      <c r="A177" s="2" t="inlineStr">
        <is>
          <t>m250202</t>
        </is>
      </c>
      <c r="B177" s="2">
        <f>IFERROR(VLOOKUP(A177,Students!$A:$B,2,FALSE),"")</f>
        <v/>
      </c>
      <c r="C177" s="2" t="inlineStr">
        <is>
          <t>Spring 2026</t>
        </is>
      </c>
      <c r="D177" s="2" t="inlineStr">
        <is>
          <t>Semester 3</t>
        </is>
      </c>
      <c r="E177" s="2" t="inlineStr">
        <is>
          <t>MBA 610</t>
        </is>
      </c>
      <c r="F177" s="2">
        <f>IFERROR(VLOOKUP(E177,Courses!$A:$C,2,FALSE),"")</f>
        <v/>
      </c>
      <c r="G177" s="2">
        <f>IFERROR(VLOOKUP(E177,Courses!$A:$C,3,FALSE),0)</f>
        <v/>
      </c>
      <c r="H177" s="2" t="inlineStr">
        <is>
          <t>A</t>
        </is>
      </c>
      <c r="I177" s="2" t="n">
        <v>95</v>
      </c>
      <c r="J177" s="2">
        <f>IFERROR(VLOOKUP(H177,'Grade Scale'!$A:$B,2,FALSE),0)</f>
        <v/>
      </c>
      <c r="K177" s="2">
        <f>J177*G177</f>
        <v/>
      </c>
      <c r="L177" s="2">
        <f>IF(H177="F",0,G177)</f>
        <v/>
      </c>
    </row>
    <row r="178">
      <c r="A178" s="2" t="inlineStr">
        <is>
          <t>m250202</t>
        </is>
      </c>
      <c r="B178" s="2">
        <f>IFERROR(VLOOKUP(A178,Students!$A:$B,2,FALSE),"")</f>
        <v/>
      </c>
      <c r="C178" s="2" t="inlineStr">
        <is>
          <t>Spring 2026</t>
        </is>
      </c>
      <c r="D178" s="2" t="inlineStr">
        <is>
          <t>Semester 3</t>
        </is>
      </c>
      <c r="E178" s="2" t="inlineStr">
        <is>
          <t>MBA 620</t>
        </is>
      </c>
      <c r="F178" s="2">
        <f>IFERROR(VLOOKUP(E178,Courses!$A:$C,2,FALSE),"")</f>
        <v/>
      </c>
      <c r="G178" s="2">
        <f>IFERROR(VLOOKUP(E178,Courses!$A:$C,3,FALSE),0)</f>
        <v/>
      </c>
      <c r="H178" s="2" t="inlineStr">
        <is>
          <t>A</t>
        </is>
      </c>
      <c r="I178" s="2" t="n">
        <v>95</v>
      </c>
      <c r="J178" s="2">
        <f>IFERROR(VLOOKUP(H178,'Grade Scale'!$A:$B,2,FALSE),0)</f>
        <v/>
      </c>
      <c r="K178" s="2">
        <f>J178*G178</f>
        <v/>
      </c>
      <c r="L178" s="2">
        <f>IF(H178="F",0,G178)</f>
        <v/>
      </c>
    </row>
    <row r="179">
      <c r="A179" s="2" t="inlineStr">
        <is>
          <t>m250202</t>
        </is>
      </c>
      <c r="B179" s="2">
        <f>IFERROR(VLOOKUP(A179,Students!$A:$B,2,FALSE),"")</f>
        <v/>
      </c>
      <c r="C179" s="2" t="inlineStr">
        <is>
          <t>Spring 2026</t>
        </is>
      </c>
      <c r="D179" s="2" t="inlineStr">
        <is>
          <t>Semester 3</t>
        </is>
      </c>
      <c r="E179" s="2" t="inlineStr">
        <is>
          <t>MBA 630</t>
        </is>
      </c>
      <c r="F179" s="2">
        <f>IFERROR(VLOOKUP(E179,Courses!$A:$C,2,FALSE),"")</f>
        <v/>
      </c>
      <c r="G179" s="2">
        <f>IFERROR(VLOOKUP(E179,Courses!$A:$C,3,FALSE),0)</f>
        <v/>
      </c>
      <c r="H179" s="2" t="inlineStr">
        <is>
          <t>A-</t>
        </is>
      </c>
      <c r="I179" s="2" t="n">
        <v>92</v>
      </c>
      <c r="J179" s="2">
        <f>IFERROR(VLOOKUP(H179,'Grade Scale'!$A:$B,2,FALSE),0)</f>
        <v/>
      </c>
      <c r="K179" s="2">
        <f>J179*G179</f>
        <v/>
      </c>
      <c r="L179" s="2">
        <f>IF(H179="F",0,G179)</f>
        <v/>
      </c>
    </row>
    <row r="180">
      <c r="A180" s="2" t="inlineStr">
        <is>
          <t>m250202</t>
        </is>
      </c>
      <c r="B180" s="2">
        <f>IFERROR(VLOOKUP(A180,Students!$A:$B,2,FALSE),"")</f>
        <v/>
      </c>
      <c r="C180" s="2" t="inlineStr">
        <is>
          <t>Spring 2026</t>
        </is>
      </c>
      <c r="D180" s="2" t="inlineStr">
        <is>
          <t>Semester 3</t>
        </is>
      </c>
      <c r="E180" s="2" t="inlineStr">
        <is>
          <t>MBA 640</t>
        </is>
      </c>
      <c r="F180" s="2">
        <f>IFERROR(VLOOKUP(E180,Courses!$A:$C,2,FALSE),"")</f>
        <v/>
      </c>
      <c r="G180" s="2">
        <f>IFERROR(VLOOKUP(E180,Courses!$A:$C,3,FALSE),0)</f>
        <v/>
      </c>
      <c r="H180" s="2" t="inlineStr">
        <is>
          <t>B-</t>
        </is>
      </c>
      <c r="I180" s="2" t="n">
        <v>82</v>
      </c>
      <c r="J180" s="2">
        <f>IFERROR(VLOOKUP(H180,'Grade Scale'!$A:$B,2,FALSE),0)</f>
        <v/>
      </c>
      <c r="K180" s="2">
        <f>J180*G180</f>
        <v/>
      </c>
      <c r="L180" s="2">
        <f>IF(H180="F",0,G180)</f>
        <v/>
      </c>
    </row>
    <row r="181">
      <c r="A181" s="2" t="inlineStr">
        <is>
          <t>m250202</t>
        </is>
      </c>
      <c r="B181" s="2">
        <f>IFERROR(VLOOKUP(A181,Students!$A:$B,2,FALSE),"")</f>
        <v/>
      </c>
      <c r="C181" s="2" t="inlineStr">
        <is>
          <t>Spring 2026</t>
        </is>
      </c>
      <c r="D181" s="2" t="inlineStr">
        <is>
          <t>Semester 3</t>
        </is>
      </c>
      <c r="E181" s="2" t="inlineStr">
        <is>
          <t>MBA 690</t>
        </is>
      </c>
      <c r="F181" s="2">
        <f>IFERROR(VLOOKUP(E181,Courses!$A:$C,2,FALSE),"")</f>
        <v/>
      </c>
      <c r="G181" s="2">
        <f>IFERROR(VLOOKUP(E181,Courses!$A:$C,3,FALSE),0)</f>
        <v/>
      </c>
      <c r="H181" s="2" t="inlineStr">
        <is>
          <t>A-</t>
        </is>
      </c>
      <c r="I181" s="2" t="n">
        <v>90</v>
      </c>
      <c r="J181" s="2">
        <f>IFERROR(VLOOKUP(H181,'Grade Scale'!$A:$B,2,FALSE),0)</f>
        <v/>
      </c>
      <c r="K181" s="2">
        <f>J181*G181</f>
        <v/>
      </c>
      <c r="L181" s="2">
        <f>IF(H181="F",0,G181)</f>
        <v/>
      </c>
    </row>
    <row r="182">
      <c r="A182" s="2" t="inlineStr">
        <is>
          <t>m250203</t>
        </is>
      </c>
      <c r="B182" s="2">
        <f>IFERROR(VLOOKUP(A182,Students!$A:$B,2,FALSE),"")</f>
        <v/>
      </c>
      <c r="C182" s="2" t="inlineStr">
        <is>
          <t>Spring 2025</t>
        </is>
      </c>
      <c r="D182" s="2" t="inlineStr">
        <is>
          <t>Semester 1</t>
        </is>
      </c>
      <c r="E182" s="2" t="inlineStr">
        <is>
          <t>TAM 530</t>
        </is>
      </c>
      <c r="F182" s="2">
        <f>IFERROR(VLOOKUP(E182,Courses!$A:$C,2,FALSE),"")</f>
        <v/>
      </c>
      <c r="G182" s="2">
        <f>IFERROR(VLOOKUP(E182,Courses!$A:$C,3,FALSE),0)</f>
        <v/>
      </c>
      <c r="H182" s="2" t="inlineStr">
        <is>
          <t>C</t>
        </is>
      </c>
      <c r="I182" s="2" t="n">
        <v>74</v>
      </c>
      <c r="J182" s="2">
        <f>IFERROR(VLOOKUP(H182,'Grade Scale'!$A:$B,2,FALSE),0)</f>
        <v/>
      </c>
      <c r="K182" s="2">
        <f>J182*G182</f>
        <v/>
      </c>
      <c r="L182" s="2">
        <f>IF(H182="F",0,G182)</f>
        <v/>
      </c>
    </row>
    <row r="183">
      <c r="A183" s="2" t="inlineStr">
        <is>
          <t>m250203</t>
        </is>
      </c>
      <c r="B183" s="2">
        <f>IFERROR(VLOOKUP(A183,Students!$A:$B,2,FALSE),"")</f>
        <v/>
      </c>
      <c r="C183" s="2" t="inlineStr">
        <is>
          <t>Spring 2025</t>
        </is>
      </c>
      <c r="D183" s="2" t="inlineStr">
        <is>
          <t>Semester 1</t>
        </is>
      </c>
      <c r="E183" s="2" t="inlineStr">
        <is>
          <t>TGM 586</t>
        </is>
      </c>
      <c r="F183" s="2">
        <f>IFERROR(VLOOKUP(E183,Courses!$A:$C,2,FALSE),"")</f>
        <v/>
      </c>
      <c r="G183" s="2">
        <f>IFERROR(VLOOKUP(E183,Courses!$A:$C,3,FALSE),0)</f>
        <v/>
      </c>
      <c r="H183" s="2" t="inlineStr">
        <is>
          <t>B+</t>
        </is>
      </c>
      <c r="I183" s="2" t="n">
        <v>87</v>
      </c>
      <c r="J183" s="2">
        <f>IFERROR(VLOOKUP(H183,'Grade Scale'!$A:$B,2,FALSE),0)</f>
        <v/>
      </c>
      <c r="K183" s="2">
        <f>J183*G183</f>
        <v/>
      </c>
      <c r="L183" s="2">
        <f>IF(H183="F",0,G183)</f>
        <v/>
      </c>
    </row>
    <row r="184">
      <c r="A184" s="2" t="inlineStr">
        <is>
          <t>m250203</t>
        </is>
      </c>
      <c r="B184" s="2">
        <f>IFERROR(VLOOKUP(A184,Students!$A:$B,2,FALSE),"")</f>
        <v/>
      </c>
      <c r="C184" s="2" t="inlineStr">
        <is>
          <t>Spring 2025</t>
        </is>
      </c>
      <c r="D184" s="2" t="inlineStr">
        <is>
          <t>Semester 1</t>
        </is>
      </c>
      <c r="E184" s="2" t="inlineStr">
        <is>
          <t>TAM 557</t>
        </is>
      </c>
      <c r="F184" s="2">
        <f>IFERROR(VLOOKUP(E184,Courses!$A:$C,2,FALSE),"")</f>
        <v/>
      </c>
      <c r="G184" s="2">
        <f>IFERROR(VLOOKUP(E184,Courses!$A:$C,3,FALSE),0)</f>
        <v/>
      </c>
      <c r="H184" s="2" t="inlineStr">
        <is>
          <t>B+</t>
        </is>
      </c>
      <c r="I184" s="2" t="n">
        <v>88</v>
      </c>
      <c r="J184" s="2">
        <f>IFERROR(VLOOKUP(H184,'Grade Scale'!$A:$B,2,FALSE),0)</f>
        <v/>
      </c>
      <c r="K184" s="2">
        <f>J184*G184</f>
        <v/>
      </c>
      <c r="L184" s="2">
        <f>IF(H184="F",0,G184)</f>
        <v/>
      </c>
    </row>
    <row r="185">
      <c r="A185" s="2" t="inlineStr">
        <is>
          <t>m250203</t>
        </is>
      </c>
      <c r="B185" s="2">
        <f>IFERROR(VLOOKUP(A185,Students!$A:$B,2,FALSE),"")</f>
        <v/>
      </c>
      <c r="C185" s="2" t="inlineStr">
        <is>
          <t>Spring 2025</t>
        </is>
      </c>
      <c r="D185" s="2" t="inlineStr">
        <is>
          <t>Semester 1</t>
        </is>
      </c>
      <c r="E185" s="2" t="inlineStr">
        <is>
          <t>TAM 542</t>
        </is>
      </c>
      <c r="F185" s="2">
        <f>IFERROR(VLOOKUP(E185,Courses!$A:$C,2,FALSE),"")</f>
        <v/>
      </c>
      <c r="G185" s="2">
        <f>IFERROR(VLOOKUP(E185,Courses!$A:$C,3,FALSE),0)</f>
        <v/>
      </c>
      <c r="H185" s="2" t="inlineStr">
        <is>
          <t>A</t>
        </is>
      </c>
      <c r="I185" s="2" t="n">
        <v>93</v>
      </c>
      <c r="J185" s="2">
        <f>IFERROR(VLOOKUP(H185,'Grade Scale'!$A:$B,2,FALSE),0)</f>
        <v/>
      </c>
      <c r="K185" s="2">
        <f>J185*G185</f>
        <v/>
      </c>
      <c r="L185" s="2">
        <f>IF(H185="F",0,G185)</f>
        <v/>
      </c>
    </row>
    <row r="186">
      <c r="A186" s="2" t="inlineStr">
        <is>
          <t>m250203</t>
        </is>
      </c>
      <c r="B186" s="2">
        <f>IFERROR(VLOOKUP(A186,Students!$A:$B,2,FALSE),"")</f>
        <v/>
      </c>
      <c r="C186" s="2" t="inlineStr">
        <is>
          <t>Spring 2025</t>
        </is>
      </c>
      <c r="D186" s="2" t="inlineStr">
        <is>
          <t>Semester 1</t>
        </is>
      </c>
      <c r="E186" s="2" t="inlineStr">
        <is>
          <t>TAM 511</t>
        </is>
      </c>
      <c r="F186" s="2">
        <f>IFERROR(VLOOKUP(E186,Courses!$A:$C,2,FALSE),"")</f>
        <v/>
      </c>
      <c r="G186" s="2">
        <f>IFERROR(VLOOKUP(E186,Courses!$A:$C,3,FALSE),0)</f>
        <v/>
      </c>
      <c r="H186" s="2" t="inlineStr">
        <is>
          <t>B</t>
        </is>
      </c>
      <c r="I186" s="2" t="n">
        <v>86</v>
      </c>
      <c r="J186" s="2">
        <f>IFERROR(VLOOKUP(H186,'Grade Scale'!$A:$B,2,FALSE),0)</f>
        <v/>
      </c>
      <c r="K186" s="2">
        <f>J186*G186</f>
        <v/>
      </c>
      <c r="L186" s="2">
        <f>IF(H186="F",0,G186)</f>
        <v/>
      </c>
    </row>
    <row r="187">
      <c r="A187" s="2" t="inlineStr">
        <is>
          <t>m250203</t>
        </is>
      </c>
      <c r="B187" s="2">
        <f>IFERROR(VLOOKUP(A187,Students!$A:$B,2,FALSE),"")</f>
        <v/>
      </c>
      <c r="C187" s="2" t="inlineStr">
        <is>
          <t>Fall 2025</t>
        </is>
      </c>
      <c r="D187" s="2" t="inlineStr">
        <is>
          <t>Semester 2</t>
        </is>
      </c>
      <c r="E187" s="2" t="inlineStr">
        <is>
          <t>IAL 503</t>
        </is>
      </c>
      <c r="F187" s="2">
        <f>IFERROR(VLOOKUP(E187,Courses!$A:$C,2,FALSE),"")</f>
        <v/>
      </c>
      <c r="G187" s="2">
        <f>IFERROR(VLOOKUP(E187,Courses!$A:$C,3,FALSE),0)</f>
        <v/>
      </c>
      <c r="H187" s="2" t="inlineStr">
        <is>
          <t>B-</t>
        </is>
      </c>
      <c r="I187" s="2" t="n">
        <v>82</v>
      </c>
      <c r="J187" s="2">
        <f>IFERROR(VLOOKUP(H187,'Grade Scale'!$A:$B,2,FALSE),0)</f>
        <v/>
      </c>
      <c r="K187" s="2">
        <f>J187*G187</f>
        <v/>
      </c>
      <c r="L187" s="2">
        <f>IF(H187="F",0,G187)</f>
        <v/>
      </c>
    </row>
    <row r="188">
      <c r="A188" s="2" t="inlineStr">
        <is>
          <t>m250203</t>
        </is>
      </c>
      <c r="B188" s="2">
        <f>IFERROR(VLOOKUP(A188,Students!$A:$B,2,FALSE),"")</f>
        <v/>
      </c>
      <c r="C188" s="2" t="inlineStr">
        <is>
          <t>Fall 2025</t>
        </is>
      </c>
      <c r="D188" s="2" t="inlineStr">
        <is>
          <t>Semester 2</t>
        </is>
      </c>
      <c r="E188" s="2" t="inlineStr">
        <is>
          <t>FIN 560</t>
        </is>
      </c>
      <c r="F188" s="2">
        <f>IFERROR(VLOOKUP(E188,Courses!$A:$C,2,FALSE),"")</f>
        <v/>
      </c>
      <c r="G188" s="2">
        <f>IFERROR(VLOOKUP(E188,Courses!$A:$C,3,FALSE),0)</f>
        <v/>
      </c>
      <c r="H188" s="2" t="inlineStr">
        <is>
          <t>C</t>
        </is>
      </c>
      <c r="I188" s="2" t="n">
        <v>74</v>
      </c>
      <c r="J188" s="2">
        <f>IFERROR(VLOOKUP(H188,'Grade Scale'!$A:$B,2,FALSE),0)</f>
        <v/>
      </c>
      <c r="K188" s="2">
        <f>J188*G188</f>
        <v/>
      </c>
      <c r="L188" s="2">
        <f>IF(H188="F",0,G188)</f>
        <v/>
      </c>
    </row>
    <row r="189">
      <c r="A189" s="2" t="inlineStr">
        <is>
          <t>m250203</t>
        </is>
      </c>
      <c r="B189" s="2">
        <f>IFERROR(VLOOKUP(A189,Students!$A:$B,2,FALSE),"")</f>
        <v/>
      </c>
      <c r="C189" s="2" t="inlineStr">
        <is>
          <t>Fall 2025</t>
        </is>
      </c>
      <c r="D189" s="2" t="inlineStr">
        <is>
          <t>Semester 2</t>
        </is>
      </c>
      <c r="E189" s="2" t="inlineStr">
        <is>
          <t>TGM 551</t>
        </is>
      </c>
      <c r="F189" s="2">
        <f>IFERROR(VLOOKUP(E189,Courses!$A:$C,2,FALSE),"")</f>
        <v/>
      </c>
      <c r="G189" s="2">
        <f>IFERROR(VLOOKUP(E189,Courses!$A:$C,3,FALSE),0)</f>
        <v/>
      </c>
      <c r="H189" s="2" t="inlineStr">
        <is>
          <t>B-</t>
        </is>
      </c>
      <c r="I189" s="2" t="n">
        <v>82</v>
      </c>
      <c r="J189" s="2">
        <f>IFERROR(VLOOKUP(H189,'Grade Scale'!$A:$B,2,FALSE),0)</f>
        <v/>
      </c>
      <c r="K189" s="2">
        <f>J189*G189</f>
        <v/>
      </c>
      <c r="L189" s="2">
        <f>IF(H189="F",0,G189)</f>
        <v/>
      </c>
    </row>
    <row r="190">
      <c r="A190" s="2" t="inlineStr">
        <is>
          <t>m250203</t>
        </is>
      </c>
      <c r="B190" s="2">
        <f>IFERROR(VLOOKUP(A190,Students!$A:$B,2,FALSE),"")</f>
        <v/>
      </c>
      <c r="C190" s="2" t="inlineStr">
        <is>
          <t>Fall 2025</t>
        </is>
      </c>
      <c r="D190" s="2" t="inlineStr">
        <is>
          <t>Semester 2</t>
        </is>
      </c>
      <c r="E190" s="2" t="inlineStr">
        <is>
          <t>TAM 505</t>
        </is>
      </c>
      <c r="F190" s="2">
        <f>IFERROR(VLOOKUP(E190,Courses!$A:$C,2,FALSE),"")</f>
        <v/>
      </c>
      <c r="G190" s="2">
        <f>IFERROR(VLOOKUP(E190,Courses!$A:$C,3,FALSE),0)</f>
        <v/>
      </c>
      <c r="H190" s="2" t="inlineStr">
        <is>
          <t>D+</t>
        </is>
      </c>
      <c r="I190" s="2" t="n">
        <v>69</v>
      </c>
      <c r="J190" s="2">
        <f>IFERROR(VLOOKUP(H190,'Grade Scale'!$A:$B,2,FALSE),0)</f>
        <v/>
      </c>
      <c r="K190" s="2">
        <f>J190*G190</f>
        <v/>
      </c>
      <c r="L190" s="2">
        <f>IF(H190="F",0,G190)</f>
        <v/>
      </c>
    </row>
    <row r="191">
      <c r="A191" s="2" t="inlineStr">
        <is>
          <t>m250203</t>
        </is>
      </c>
      <c r="B191" s="2">
        <f>IFERROR(VLOOKUP(A191,Students!$A:$B,2,FALSE),"")</f>
        <v/>
      </c>
      <c r="C191" s="2" t="inlineStr">
        <is>
          <t>Fall 2025</t>
        </is>
      </c>
      <c r="D191" s="2" t="inlineStr">
        <is>
          <t>Semester 2</t>
        </is>
      </c>
      <c r="E191" s="2" t="inlineStr">
        <is>
          <t>TGM 507</t>
        </is>
      </c>
      <c r="F191" s="2">
        <f>IFERROR(VLOOKUP(E191,Courses!$A:$C,2,FALSE),"")</f>
        <v/>
      </c>
      <c r="G191" s="2">
        <f>IFERROR(VLOOKUP(E191,Courses!$A:$C,3,FALSE),0)</f>
        <v/>
      </c>
      <c r="H191" s="2" t="inlineStr">
        <is>
          <t>B-</t>
        </is>
      </c>
      <c r="I191" s="2" t="n">
        <v>82</v>
      </c>
      <c r="J191" s="2">
        <f>IFERROR(VLOOKUP(H191,'Grade Scale'!$A:$B,2,FALSE),0)</f>
        <v/>
      </c>
      <c r="K191" s="2">
        <f>J191*G191</f>
        <v/>
      </c>
      <c r="L191" s="2">
        <f>IF(H191="F",0,G191)</f>
        <v/>
      </c>
    </row>
    <row r="192">
      <c r="A192" s="2" t="inlineStr">
        <is>
          <t>m250203</t>
        </is>
      </c>
      <c r="B192" s="2">
        <f>IFERROR(VLOOKUP(A192,Students!$A:$B,2,FALSE),"")</f>
        <v/>
      </c>
      <c r="C192" s="2" t="inlineStr">
        <is>
          <t>Spring 2026</t>
        </is>
      </c>
      <c r="D192" s="2" t="inlineStr">
        <is>
          <t>Semester 3</t>
        </is>
      </c>
      <c r="E192" s="2" t="inlineStr">
        <is>
          <t>TGM 610</t>
        </is>
      </c>
      <c r="F192" s="2">
        <f>IFERROR(VLOOKUP(E192,Courses!$A:$C,2,FALSE),"")</f>
        <v/>
      </c>
      <c r="G192" s="2">
        <f>IFERROR(VLOOKUP(E192,Courses!$A:$C,3,FALSE),0)</f>
        <v/>
      </c>
      <c r="H192" s="2" t="inlineStr">
        <is>
          <t>A-</t>
        </is>
      </c>
      <c r="I192" s="2" t="n">
        <v>90</v>
      </c>
      <c r="J192" s="2">
        <f>IFERROR(VLOOKUP(H192,'Grade Scale'!$A:$B,2,FALSE),0)</f>
        <v/>
      </c>
      <c r="K192" s="2">
        <f>J192*G192</f>
        <v/>
      </c>
      <c r="L192" s="2">
        <f>IF(H192="F",0,G192)</f>
        <v/>
      </c>
    </row>
    <row r="193">
      <c r="A193" s="2" t="inlineStr">
        <is>
          <t>m250203</t>
        </is>
      </c>
      <c r="B193" s="2">
        <f>IFERROR(VLOOKUP(A193,Students!$A:$B,2,FALSE),"")</f>
        <v/>
      </c>
      <c r="C193" s="2" t="inlineStr">
        <is>
          <t>Spring 2026</t>
        </is>
      </c>
      <c r="D193" s="2" t="inlineStr">
        <is>
          <t>Semester 3</t>
        </is>
      </c>
      <c r="E193" s="2" t="inlineStr">
        <is>
          <t>TGM 622</t>
        </is>
      </c>
      <c r="F193" s="2">
        <f>IFERROR(VLOOKUP(E193,Courses!$A:$C,2,FALSE),"")</f>
        <v/>
      </c>
      <c r="G193" s="2">
        <f>IFERROR(VLOOKUP(E193,Courses!$A:$C,3,FALSE),0)</f>
        <v/>
      </c>
      <c r="H193" s="2" t="inlineStr">
        <is>
          <t>A</t>
        </is>
      </c>
      <c r="I193" s="2" t="n">
        <v>94</v>
      </c>
      <c r="J193" s="2">
        <f>IFERROR(VLOOKUP(H193,'Grade Scale'!$A:$B,2,FALSE),0)</f>
        <v/>
      </c>
      <c r="K193" s="2">
        <f>J193*G193</f>
        <v/>
      </c>
      <c r="L193" s="2">
        <f>IF(H193="F",0,G193)</f>
        <v/>
      </c>
    </row>
    <row r="194">
      <c r="A194" s="2" t="inlineStr">
        <is>
          <t>m250203</t>
        </is>
      </c>
      <c r="B194" s="2">
        <f>IFERROR(VLOOKUP(A194,Students!$A:$B,2,FALSE),"")</f>
        <v/>
      </c>
      <c r="C194" s="2" t="inlineStr">
        <is>
          <t>Spring 2026</t>
        </is>
      </c>
      <c r="D194" s="2" t="inlineStr">
        <is>
          <t>Semester 3</t>
        </is>
      </c>
      <c r="E194" s="2" t="inlineStr">
        <is>
          <t>TAM 615</t>
        </is>
      </c>
      <c r="F194" s="2">
        <f>IFERROR(VLOOKUP(E194,Courses!$A:$C,2,FALSE),"")</f>
        <v/>
      </c>
      <c r="G194" s="2">
        <f>IFERROR(VLOOKUP(E194,Courses!$A:$C,3,FALSE),0)</f>
        <v/>
      </c>
      <c r="H194" s="2" t="inlineStr">
        <is>
          <t>C+</t>
        </is>
      </c>
      <c r="I194" s="2" t="n">
        <v>79</v>
      </c>
      <c r="J194" s="2">
        <f>IFERROR(VLOOKUP(H194,'Grade Scale'!$A:$B,2,FALSE),0)</f>
        <v/>
      </c>
      <c r="K194" s="2">
        <f>J194*G194</f>
        <v/>
      </c>
      <c r="L194" s="2">
        <f>IF(H194="F",0,G194)</f>
        <v/>
      </c>
    </row>
    <row r="195">
      <c r="A195" s="2" t="inlineStr">
        <is>
          <t>m250203</t>
        </is>
      </c>
      <c r="B195" s="2">
        <f>IFERROR(VLOOKUP(A195,Students!$A:$B,2,FALSE),"")</f>
        <v/>
      </c>
      <c r="C195" s="2" t="inlineStr">
        <is>
          <t>Spring 2026</t>
        </is>
      </c>
      <c r="D195" s="2" t="inlineStr">
        <is>
          <t>Semester 3</t>
        </is>
      </c>
      <c r="E195" s="2" t="inlineStr">
        <is>
          <t>TGM 630</t>
        </is>
      </c>
      <c r="F195" s="2">
        <f>IFERROR(VLOOKUP(E195,Courses!$A:$C,2,FALSE),"")</f>
        <v/>
      </c>
      <c r="G195" s="2">
        <f>IFERROR(VLOOKUP(E195,Courses!$A:$C,3,FALSE),0)</f>
        <v/>
      </c>
      <c r="H195" s="2" t="inlineStr">
        <is>
          <t>B+</t>
        </is>
      </c>
      <c r="I195" s="2" t="n">
        <v>88</v>
      </c>
      <c r="J195" s="2">
        <f>IFERROR(VLOOKUP(H195,'Grade Scale'!$A:$B,2,FALSE),0)</f>
        <v/>
      </c>
      <c r="K195" s="2">
        <f>J195*G195</f>
        <v/>
      </c>
      <c r="L195" s="2">
        <f>IF(H195="F",0,G195)</f>
        <v/>
      </c>
    </row>
    <row r="196">
      <c r="A196" s="2" t="inlineStr">
        <is>
          <t>m250203</t>
        </is>
      </c>
      <c r="B196" s="2">
        <f>IFERROR(VLOOKUP(A196,Students!$A:$B,2,FALSE),"")</f>
        <v/>
      </c>
      <c r="C196" s="2" t="inlineStr">
        <is>
          <t>Spring 2026</t>
        </is>
      </c>
      <c r="D196" s="2" t="inlineStr">
        <is>
          <t>Semester 3</t>
        </is>
      </c>
      <c r="E196" s="2" t="inlineStr">
        <is>
          <t>TGM 690</t>
        </is>
      </c>
      <c r="F196" s="2">
        <f>IFERROR(VLOOKUP(E196,Courses!$A:$C,2,FALSE),"")</f>
        <v/>
      </c>
      <c r="G196" s="2">
        <f>IFERROR(VLOOKUP(E196,Courses!$A:$C,3,FALSE),0)</f>
        <v/>
      </c>
      <c r="H196" s="2" t="inlineStr">
        <is>
          <t>B-</t>
        </is>
      </c>
      <c r="I196" s="2" t="n">
        <v>82</v>
      </c>
      <c r="J196" s="2">
        <f>IFERROR(VLOOKUP(H196,'Grade Scale'!$A:$B,2,FALSE),0)</f>
        <v/>
      </c>
      <c r="K196" s="2">
        <f>J196*G196</f>
        <v/>
      </c>
      <c r="L196" s="2">
        <f>IF(H196="F",0,G196)</f>
        <v/>
      </c>
    </row>
    <row r="197">
      <c r="A197" s="2" t="inlineStr">
        <is>
          <t>m250204</t>
        </is>
      </c>
      <c r="B197" s="2">
        <f>IFERROR(VLOOKUP(A197,Students!$A:$B,2,FALSE),"")</f>
        <v/>
      </c>
      <c r="C197" s="2" t="inlineStr">
        <is>
          <t>Spring 2025</t>
        </is>
      </c>
      <c r="D197" s="2" t="inlineStr">
        <is>
          <t>Semester 1</t>
        </is>
      </c>
      <c r="E197" s="2" t="inlineStr">
        <is>
          <t>ECO 101</t>
        </is>
      </c>
      <c r="F197" s="2">
        <f>IFERROR(VLOOKUP(E197,Courses!$A:$C,2,FALSE),"")</f>
        <v/>
      </c>
      <c r="G197" s="2">
        <f>IFERROR(VLOOKUP(E197,Courses!$A:$C,3,FALSE),0)</f>
        <v/>
      </c>
      <c r="H197" s="2" t="inlineStr">
        <is>
          <t>A-</t>
        </is>
      </c>
      <c r="I197" s="2" t="n">
        <v>92</v>
      </c>
      <c r="J197" s="2">
        <f>IFERROR(VLOOKUP(H197,'Grade Scale'!$A:$B,2,FALSE),0)</f>
        <v/>
      </c>
      <c r="K197" s="2">
        <f>J197*G197</f>
        <v/>
      </c>
      <c r="L197" s="2">
        <f>IF(H197="F",0,G197)</f>
        <v/>
      </c>
    </row>
    <row r="198">
      <c r="A198" s="2" t="inlineStr">
        <is>
          <t>m250204</t>
        </is>
      </c>
      <c r="B198" s="2">
        <f>IFERROR(VLOOKUP(A198,Students!$A:$B,2,FALSE),"")</f>
        <v/>
      </c>
      <c r="C198" s="2" t="inlineStr">
        <is>
          <t>Spring 2025</t>
        </is>
      </c>
      <c r="D198" s="2" t="inlineStr">
        <is>
          <t>Semester 1</t>
        </is>
      </c>
      <c r="E198" s="2" t="inlineStr">
        <is>
          <t>ACC 101</t>
        </is>
      </c>
      <c r="F198" s="2">
        <f>IFERROR(VLOOKUP(E198,Courses!$A:$C,2,FALSE),"")</f>
        <v/>
      </c>
      <c r="G198" s="2">
        <f>IFERROR(VLOOKUP(E198,Courses!$A:$C,3,FALSE),0)</f>
        <v/>
      </c>
      <c r="H198" s="2" t="inlineStr">
        <is>
          <t>B+</t>
        </is>
      </c>
      <c r="I198" s="2" t="n">
        <v>89</v>
      </c>
      <c r="J198" s="2">
        <f>IFERROR(VLOOKUP(H198,'Grade Scale'!$A:$B,2,FALSE),0)</f>
        <v/>
      </c>
      <c r="K198" s="2">
        <f>J198*G198</f>
        <v/>
      </c>
      <c r="L198" s="2">
        <f>IF(H198="F",0,G198)</f>
        <v/>
      </c>
    </row>
    <row r="199">
      <c r="A199" s="2" t="inlineStr">
        <is>
          <t>m250204</t>
        </is>
      </c>
      <c r="B199" s="2">
        <f>IFERROR(VLOOKUP(A199,Students!$A:$B,2,FALSE),"")</f>
        <v/>
      </c>
      <c r="C199" s="2" t="inlineStr">
        <is>
          <t>Spring 2025</t>
        </is>
      </c>
      <c r="D199" s="2" t="inlineStr">
        <is>
          <t>Semester 1</t>
        </is>
      </c>
      <c r="E199" s="2" t="inlineStr">
        <is>
          <t>MTH 105</t>
        </is>
      </c>
      <c r="F199" s="2">
        <f>IFERROR(VLOOKUP(E199,Courses!$A:$C,2,FALSE),"")</f>
        <v/>
      </c>
      <c r="G199" s="2">
        <f>IFERROR(VLOOKUP(E199,Courses!$A:$C,3,FALSE),0)</f>
        <v/>
      </c>
      <c r="H199" s="2" t="inlineStr">
        <is>
          <t>A</t>
        </is>
      </c>
      <c r="I199" s="2" t="n">
        <v>96</v>
      </c>
      <c r="J199" s="2">
        <f>IFERROR(VLOOKUP(H199,'Grade Scale'!$A:$B,2,FALSE),0)</f>
        <v/>
      </c>
      <c r="K199" s="2">
        <f>J199*G199</f>
        <v/>
      </c>
      <c r="L199" s="2">
        <f>IF(H199="F",0,G199)</f>
        <v/>
      </c>
    </row>
    <row r="200">
      <c r="A200" s="2" t="inlineStr">
        <is>
          <t>m250204</t>
        </is>
      </c>
      <c r="B200" s="2">
        <f>IFERROR(VLOOKUP(A200,Students!$A:$B,2,FALSE),"")</f>
        <v/>
      </c>
      <c r="C200" s="2" t="inlineStr">
        <is>
          <t>Spring 2025</t>
        </is>
      </c>
      <c r="D200" s="2" t="inlineStr">
        <is>
          <t>Semester 1</t>
        </is>
      </c>
      <c r="E200" s="2" t="inlineStr">
        <is>
          <t>ENG 101</t>
        </is>
      </c>
      <c r="F200" s="2">
        <f>IFERROR(VLOOKUP(E200,Courses!$A:$C,2,FALSE),"")</f>
        <v/>
      </c>
      <c r="G200" s="2">
        <f>IFERROR(VLOOKUP(E200,Courses!$A:$C,3,FALSE),0)</f>
        <v/>
      </c>
      <c r="H200" s="2" t="inlineStr">
        <is>
          <t>A-</t>
        </is>
      </c>
      <c r="I200" s="2" t="n">
        <v>90</v>
      </c>
      <c r="J200" s="2">
        <f>IFERROR(VLOOKUP(H200,'Grade Scale'!$A:$B,2,FALSE),0)</f>
        <v/>
      </c>
      <c r="K200" s="2">
        <f>J200*G200</f>
        <v/>
      </c>
      <c r="L200" s="2">
        <f>IF(H200="F",0,G200)</f>
        <v/>
      </c>
    </row>
    <row r="201">
      <c r="A201" s="2" t="inlineStr">
        <is>
          <t>m250204</t>
        </is>
      </c>
      <c r="B201" s="2">
        <f>IFERROR(VLOOKUP(A201,Students!$A:$B,2,FALSE),"")</f>
        <v/>
      </c>
      <c r="C201" s="2" t="inlineStr">
        <is>
          <t>Spring 2025</t>
        </is>
      </c>
      <c r="D201" s="2" t="inlineStr">
        <is>
          <t>Semester 1</t>
        </is>
      </c>
      <c r="E201" s="2" t="inlineStr">
        <is>
          <t>FIN 100</t>
        </is>
      </c>
      <c r="F201" s="2">
        <f>IFERROR(VLOOKUP(E201,Courses!$A:$C,2,FALSE),"")</f>
        <v/>
      </c>
      <c r="G201" s="2">
        <f>IFERROR(VLOOKUP(E201,Courses!$A:$C,3,FALSE),0)</f>
        <v/>
      </c>
      <c r="H201" s="2" t="inlineStr">
        <is>
          <t>A</t>
        </is>
      </c>
      <c r="I201" s="2" t="n">
        <v>98</v>
      </c>
      <c r="J201" s="2">
        <f>IFERROR(VLOOKUP(H201,'Grade Scale'!$A:$B,2,FALSE),0)</f>
        <v/>
      </c>
      <c r="K201" s="2">
        <f>J201*G201</f>
        <v/>
      </c>
      <c r="L201" s="2">
        <f>IF(H201="F",0,G201)</f>
        <v/>
      </c>
    </row>
    <row r="202">
      <c r="A202" s="2" t="inlineStr">
        <is>
          <t>m250204</t>
        </is>
      </c>
      <c r="B202" s="2">
        <f>IFERROR(VLOOKUP(A202,Students!$A:$B,2,FALSE),"")</f>
        <v/>
      </c>
      <c r="C202" s="2" t="inlineStr">
        <is>
          <t>Fall 2025</t>
        </is>
      </c>
      <c r="D202" s="2" t="inlineStr">
        <is>
          <t>Semester 2</t>
        </is>
      </c>
      <c r="E202" s="2" t="inlineStr">
        <is>
          <t>ECO 102</t>
        </is>
      </c>
      <c r="F202" s="2">
        <f>IFERROR(VLOOKUP(E202,Courses!$A:$C,2,FALSE),"")</f>
        <v/>
      </c>
      <c r="G202" s="2">
        <f>IFERROR(VLOOKUP(E202,Courses!$A:$C,3,FALSE),0)</f>
        <v/>
      </c>
      <c r="H202" s="2" t="inlineStr">
        <is>
          <t>A-</t>
        </is>
      </c>
      <c r="I202" s="2" t="n">
        <v>92</v>
      </c>
      <c r="J202" s="2">
        <f>IFERROR(VLOOKUP(H202,'Grade Scale'!$A:$B,2,FALSE),0)</f>
        <v/>
      </c>
      <c r="K202" s="2">
        <f>J202*G202</f>
        <v/>
      </c>
      <c r="L202" s="2">
        <f>IF(H202="F",0,G202)</f>
        <v/>
      </c>
    </row>
    <row r="203">
      <c r="A203" s="2" t="inlineStr">
        <is>
          <t>m250204</t>
        </is>
      </c>
      <c r="B203" s="2">
        <f>IFERROR(VLOOKUP(A203,Students!$A:$B,2,FALSE),"")</f>
        <v/>
      </c>
      <c r="C203" s="2" t="inlineStr">
        <is>
          <t>Fall 2025</t>
        </is>
      </c>
      <c r="D203" s="2" t="inlineStr">
        <is>
          <t>Semester 2</t>
        </is>
      </c>
      <c r="E203" s="2" t="inlineStr">
        <is>
          <t>ACC 102</t>
        </is>
      </c>
      <c r="F203" s="2">
        <f>IFERROR(VLOOKUP(E203,Courses!$A:$C,2,FALSE),"")</f>
        <v/>
      </c>
      <c r="G203" s="2">
        <f>IFERROR(VLOOKUP(E203,Courses!$A:$C,3,FALSE),0)</f>
        <v/>
      </c>
      <c r="H203" s="2" t="inlineStr">
        <is>
          <t>B</t>
        </is>
      </c>
      <c r="I203" s="2" t="n">
        <v>85</v>
      </c>
      <c r="J203" s="2">
        <f>IFERROR(VLOOKUP(H203,'Grade Scale'!$A:$B,2,FALSE),0)</f>
        <v/>
      </c>
      <c r="K203" s="2">
        <f>J203*G203</f>
        <v/>
      </c>
      <c r="L203" s="2">
        <f>IF(H203="F",0,G203)</f>
        <v/>
      </c>
    </row>
    <row r="204">
      <c r="A204" s="2" t="inlineStr">
        <is>
          <t>m250204</t>
        </is>
      </c>
      <c r="B204" s="2">
        <f>IFERROR(VLOOKUP(A204,Students!$A:$B,2,FALSE),"")</f>
        <v/>
      </c>
      <c r="C204" s="2" t="inlineStr">
        <is>
          <t>Fall 2025</t>
        </is>
      </c>
      <c r="D204" s="2" t="inlineStr">
        <is>
          <t>Semester 2</t>
        </is>
      </c>
      <c r="E204" s="2" t="inlineStr">
        <is>
          <t>STA 110</t>
        </is>
      </c>
      <c r="F204" s="2">
        <f>IFERROR(VLOOKUP(E204,Courses!$A:$C,2,FALSE),"")</f>
        <v/>
      </c>
      <c r="G204" s="2">
        <f>IFERROR(VLOOKUP(E204,Courses!$A:$C,3,FALSE),0)</f>
        <v/>
      </c>
      <c r="H204" s="2" t="inlineStr">
        <is>
          <t>B</t>
        </is>
      </c>
      <c r="I204" s="2" t="n">
        <v>86</v>
      </c>
      <c r="J204" s="2">
        <f>IFERROR(VLOOKUP(H204,'Grade Scale'!$A:$B,2,FALSE),0)</f>
        <v/>
      </c>
      <c r="K204" s="2">
        <f>J204*G204</f>
        <v/>
      </c>
      <c r="L204" s="2">
        <f>IF(H204="F",0,G204)</f>
        <v/>
      </c>
    </row>
    <row r="205">
      <c r="A205" s="2" t="inlineStr">
        <is>
          <t>m250204</t>
        </is>
      </c>
      <c r="B205" s="2">
        <f>IFERROR(VLOOKUP(A205,Students!$A:$B,2,FALSE),"")</f>
        <v/>
      </c>
      <c r="C205" s="2" t="inlineStr">
        <is>
          <t>Fall 2025</t>
        </is>
      </c>
      <c r="D205" s="2" t="inlineStr">
        <is>
          <t>Semester 2</t>
        </is>
      </c>
      <c r="E205" s="2" t="inlineStr">
        <is>
          <t>ENG 102</t>
        </is>
      </c>
      <c r="F205" s="2">
        <f>IFERROR(VLOOKUP(E205,Courses!$A:$C,2,FALSE),"")</f>
        <v/>
      </c>
      <c r="G205" s="2">
        <f>IFERROR(VLOOKUP(E205,Courses!$A:$C,3,FALSE),0)</f>
        <v/>
      </c>
      <c r="H205" s="2" t="inlineStr">
        <is>
          <t>A-</t>
        </is>
      </c>
      <c r="I205" s="2" t="n">
        <v>92</v>
      </c>
      <c r="J205" s="2">
        <f>IFERROR(VLOOKUP(H205,'Grade Scale'!$A:$B,2,FALSE),0)</f>
        <v/>
      </c>
      <c r="K205" s="2">
        <f>J205*G205</f>
        <v/>
      </c>
      <c r="L205" s="2">
        <f>IF(H205="F",0,G205)</f>
        <v/>
      </c>
    </row>
    <row r="206">
      <c r="A206" s="2" t="inlineStr">
        <is>
          <t>m250204</t>
        </is>
      </c>
      <c r="B206" s="2">
        <f>IFERROR(VLOOKUP(A206,Students!$A:$B,2,FALSE),"")</f>
        <v/>
      </c>
      <c r="C206" s="2" t="inlineStr">
        <is>
          <t>Fall 2025</t>
        </is>
      </c>
      <c r="D206" s="2" t="inlineStr">
        <is>
          <t>Semester 2</t>
        </is>
      </c>
      <c r="E206" s="2" t="inlineStr">
        <is>
          <t>FIN 150</t>
        </is>
      </c>
      <c r="F206" s="2">
        <f>IFERROR(VLOOKUP(E206,Courses!$A:$C,2,FALSE),"")</f>
        <v/>
      </c>
      <c r="G206" s="2">
        <f>IFERROR(VLOOKUP(E206,Courses!$A:$C,3,FALSE),0)</f>
        <v/>
      </c>
      <c r="H206" s="2" t="inlineStr">
        <is>
          <t>B+</t>
        </is>
      </c>
      <c r="I206" s="2" t="n">
        <v>88</v>
      </c>
      <c r="J206" s="2">
        <f>IFERROR(VLOOKUP(H206,'Grade Scale'!$A:$B,2,FALSE),0)</f>
        <v/>
      </c>
      <c r="K206" s="2">
        <f>J206*G206</f>
        <v/>
      </c>
      <c r="L206" s="2">
        <f>IF(H206="F",0,G206)</f>
        <v/>
      </c>
    </row>
    <row r="207">
      <c r="A207" s="2" t="inlineStr">
        <is>
          <t>m250204</t>
        </is>
      </c>
      <c r="B207" s="2">
        <f>IFERROR(VLOOKUP(A207,Students!$A:$B,2,FALSE),"")</f>
        <v/>
      </c>
      <c r="C207" s="2" t="inlineStr">
        <is>
          <t>Spring 2026</t>
        </is>
      </c>
      <c r="D207" s="2" t="inlineStr">
        <is>
          <t>Semester 3</t>
        </is>
      </c>
      <c r="E207" s="2" t="inlineStr">
        <is>
          <t>FIN 210</t>
        </is>
      </c>
      <c r="F207" s="2">
        <f>IFERROR(VLOOKUP(E207,Courses!$A:$C,2,FALSE),"")</f>
        <v/>
      </c>
      <c r="G207" s="2">
        <f>IFERROR(VLOOKUP(E207,Courses!$A:$C,3,FALSE),0)</f>
        <v/>
      </c>
      <c r="H207" s="2" t="inlineStr">
        <is>
          <t>A-</t>
        </is>
      </c>
      <c r="I207" s="2" t="n">
        <v>91</v>
      </c>
      <c r="J207" s="2">
        <f>IFERROR(VLOOKUP(H207,'Grade Scale'!$A:$B,2,FALSE),0)</f>
        <v/>
      </c>
      <c r="K207" s="2">
        <f>J207*G207</f>
        <v/>
      </c>
      <c r="L207" s="2">
        <f>IF(H207="F",0,G207)</f>
        <v/>
      </c>
    </row>
    <row r="208">
      <c r="A208" s="2" t="inlineStr">
        <is>
          <t>m250204</t>
        </is>
      </c>
      <c r="B208" s="2">
        <f>IFERROR(VLOOKUP(A208,Students!$A:$B,2,FALSE),"")</f>
        <v/>
      </c>
      <c r="C208" s="2" t="inlineStr">
        <is>
          <t>Spring 2026</t>
        </is>
      </c>
      <c r="D208" s="2" t="inlineStr">
        <is>
          <t>Semester 3</t>
        </is>
      </c>
      <c r="E208" s="2" t="inlineStr">
        <is>
          <t>FIN 220</t>
        </is>
      </c>
      <c r="F208" s="2">
        <f>IFERROR(VLOOKUP(E208,Courses!$A:$C,2,FALSE),"")</f>
        <v/>
      </c>
      <c r="G208" s="2">
        <f>IFERROR(VLOOKUP(E208,Courses!$A:$C,3,FALSE),0)</f>
        <v/>
      </c>
      <c r="H208" s="2" t="inlineStr">
        <is>
          <t>A</t>
        </is>
      </c>
      <c r="I208" s="2" t="n">
        <v>94</v>
      </c>
      <c r="J208" s="2">
        <f>IFERROR(VLOOKUP(H208,'Grade Scale'!$A:$B,2,FALSE),0)</f>
        <v/>
      </c>
      <c r="K208" s="2">
        <f>J208*G208</f>
        <v/>
      </c>
      <c r="L208" s="2">
        <f>IF(H208="F",0,G208)</f>
        <v/>
      </c>
    </row>
    <row r="209">
      <c r="A209" s="2" t="inlineStr">
        <is>
          <t>m250204</t>
        </is>
      </c>
      <c r="B209" s="2">
        <f>IFERROR(VLOOKUP(A209,Students!$A:$B,2,FALSE),"")</f>
        <v/>
      </c>
      <c r="C209" s="2" t="inlineStr">
        <is>
          <t>Spring 2026</t>
        </is>
      </c>
      <c r="D209" s="2" t="inlineStr">
        <is>
          <t>Semester 3</t>
        </is>
      </c>
      <c r="E209" s="2" t="inlineStr">
        <is>
          <t>FIN 230</t>
        </is>
      </c>
      <c r="F209" s="2">
        <f>IFERROR(VLOOKUP(E209,Courses!$A:$C,2,FALSE),"")</f>
        <v/>
      </c>
      <c r="G209" s="2">
        <f>IFERROR(VLOOKUP(E209,Courses!$A:$C,3,FALSE),0)</f>
        <v/>
      </c>
      <c r="H209" s="2" t="inlineStr">
        <is>
          <t>B-</t>
        </is>
      </c>
      <c r="I209" s="2" t="n">
        <v>81</v>
      </c>
      <c r="J209" s="2">
        <f>IFERROR(VLOOKUP(H209,'Grade Scale'!$A:$B,2,FALSE),0)</f>
        <v/>
      </c>
      <c r="K209" s="2">
        <f>J209*G209</f>
        <v/>
      </c>
      <c r="L209" s="2">
        <f>IF(H209="F",0,G209)</f>
        <v/>
      </c>
    </row>
    <row r="210">
      <c r="A210" s="2" t="inlineStr">
        <is>
          <t>m250204</t>
        </is>
      </c>
      <c r="B210" s="2">
        <f>IFERROR(VLOOKUP(A210,Students!$A:$B,2,FALSE),"")</f>
        <v/>
      </c>
      <c r="C210" s="2" t="inlineStr">
        <is>
          <t>Spring 2026</t>
        </is>
      </c>
      <c r="D210" s="2" t="inlineStr">
        <is>
          <t>Semester 3</t>
        </is>
      </c>
      <c r="E210" s="2" t="inlineStr">
        <is>
          <t>ECO 210</t>
        </is>
      </c>
      <c r="F210" s="2">
        <f>IFERROR(VLOOKUP(E210,Courses!$A:$C,2,FALSE),"")</f>
        <v/>
      </c>
      <c r="G210" s="2">
        <f>IFERROR(VLOOKUP(E210,Courses!$A:$C,3,FALSE),0)</f>
        <v/>
      </c>
      <c r="H210" s="2" t="inlineStr">
        <is>
          <t>A</t>
        </is>
      </c>
      <c r="I210" s="2" t="n">
        <v>96</v>
      </c>
      <c r="J210" s="2">
        <f>IFERROR(VLOOKUP(H210,'Grade Scale'!$A:$B,2,FALSE),0)</f>
        <v/>
      </c>
      <c r="K210" s="2">
        <f>J210*G210</f>
        <v/>
      </c>
      <c r="L210" s="2">
        <f>IF(H210="F",0,G210)</f>
        <v/>
      </c>
    </row>
    <row r="211">
      <c r="A211" s="2" t="inlineStr">
        <is>
          <t>m250204</t>
        </is>
      </c>
      <c r="B211" s="2">
        <f>IFERROR(VLOOKUP(A211,Students!$A:$B,2,FALSE),"")</f>
        <v/>
      </c>
      <c r="C211" s="2" t="inlineStr">
        <is>
          <t>Spring 2026</t>
        </is>
      </c>
      <c r="D211" s="2" t="inlineStr">
        <is>
          <t>Semester 3</t>
        </is>
      </c>
      <c r="E211" s="2" t="inlineStr">
        <is>
          <t>LAW 201</t>
        </is>
      </c>
      <c r="F211" s="2">
        <f>IFERROR(VLOOKUP(E211,Courses!$A:$C,2,FALSE),"")</f>
        <v/>
      </c>
      <c r="G211" s="2">
        <f>IFERROR(VLOOKUP(E211,Courses!$A:$C,3,FALSE),0)</f>
        <v/>
      </c>
      <c r="H211" s="2" t="inlineStr">
        <is>
          <t>B-</t>
        </is>
      </c>
      <c r="I211" s="2" t="n">
        <v>80</v>
      </c>
      <c r="J211" s="2">
        <f>IFERROR(VLOOKUP(H211,'Grade Scale'!$A:$B,2,FALSE),0)</f>
        <v/>
      </c>
      <c r="K211" s="2">
        <f>J211*G211</f>
        <v/>
      </c>
      <c r="L211" s="2">
        <f>IF(H211="F",0,G211)</f>
        <v/>
      </c>
    </row>
    <row r="212">
      <c r="A212" s="2" t="inlineStr">
        <is>
          <t>m250205</t>
        </is>
      </c>
      <c r="B212" s="2">
        <f>IFERROR(VLOOKUP(A212,Students!$A:$B,2,FALSE),"")</f>
        <v/>
      </c>
      <c r="C212" s="2" t="inlineStr">
        <is>
          <t>Spring 2025</t>
        </is>
      </c>
      <c r="D212" s="2" t="inlineStr">
        <is>
          <t>Semester 1</t>
        </is>
      </c>
      <c r="E212" s="2" t="inlineStr">
        <is>
          <t>DSC 501</t>
        </is>
      </c>
      <c r="F212" s="2">
        <f>IFERROR(VLOOKUP(E212,Courses!$A:$C,2,FALSE),"")</f>
        <v/>
      </c>
      <c r="G212" s="2">
        <f>IFERROR(VLOOKUP(E212,Courses!$A:$C,3,FALSE),0)</f>
        <v/>
      </c>
      <c r="H212" s="2" t="inlineStr">
        <is>
          <t>B</t>
        </is>
      </c>
      <c r="I212" s="2" t="n">
        <v>85</v>
      </c>
      <c r="J212" s="2">
        <f>IFERROR(VLOOKUP(H212,'Grade Scale'!$A:$B,2,FALSE),0)</f>
        <v/>
      </c>
      <c r="K212" s="2">
        <f>J212*G212</f>
        <v/>
      </c>
      <c r="L212" s="2">
        <f>IF(H212="F",0,G212)</f>
        <v/>
      </c>
    </row>
    <row r="213">
      <c r="A213" s="2" t="inlineStr">
        <is>
          <t>m250205</t>
        </is>
      </c>
      <c r="B213" s="2">
        <f>IFERROR(VLOOKUP(A213,Students!$A:$B,2,FALSE),"")</f>
        <v/>
      </c>
      <c r="C213" s="2" t="inlineStr">
        <is>
          <t>Spring 2025</t>
        </is>
      </c>
      <c r="D213" s="2" t="inlineStr">
        <is>
          <t>Semester 1</t>
        </is>
      </c>
      <c r="E213" s="2" t="inlineStr">
        <is>
          <t>DSC 510</t>
        </is>
      </c>
      <c r="F213" s="2">
        <f>IFERROR(VLOOKUP(E213,Courses!$A:$C,2,FALSE),"")</f>
        <v/>
      </c>
      <c r="G213" s="2">
        <f>IFERROR(VLOOKUP(E213,Courses!$A:$C,3,FALSE),0)</f>
        <v/>
      </c>
      <c r="H213" s="2" t="inlineStr">
        <is>
          <t>A</t>
        </is>
      </c>
      <c r="I213" s="2" t="n">
        <v>98</v>
      </c>
      <c r="J213" s="2">
        <f>IFERROR(VLOOKUP(H213,'Grade Scale'!$A:$B,2,FALSE),0)</f>
        <v/>
      </c>
      <c r="K213" s="2">
        <f>J213*G213</f>
        <v/>
      </c>
      <c r="L213" s="2">
        <f>IF(H213="F",0,G213)</f>
        <v/>
      </c>
    </row>
    <row r="214">
      <c r="A214" s="2" t="inlineStr">
        <is>
          <t>m250205</t>
        </is>
      </c>
      <c r="B214" s="2">
        <f>IFERROR(VLOOKUP(A214,Students!$A:$B,2,FALSE),"")</f>
        <v/>
      </c>
      <c r="C214" s="2" t="inlineStr">
        <is>
          <t>Spring 2025</t>
        </is>
      </c>
      <c r="D214" s="2" t="inlineStr">
        <is>
          <t>Semester 1</t>
        </is>
      </c>
      <c r="E214" s="2" t="inlineStr">
        <is>
          <t>DSC 520</t>
        </is>
      </c>
      <c r="F214" s="2">
        <f>IFERROR(VLOOKUP(E214,Courses!$A:$C,2,FALSE),"")</f>
        <v/>
      </c>
      <c r="G214" s="2">
        <f>IFERROR(VLOOKUP(E214,Courses!$A:$C,3,FALSE),0)</f>
        <v/>
      </c>
      <c r="H214" s="2" t="inlineStr">
        <is>
          <t>B+</t>
        </is>
      </c>
      <c r="I214" s="2" t="n">
        <v>89</v>
      </c>
      <c r="J214" s="2">
        <f>IFERROR(VLOOKUP(H214,'Grade Scale'!$A:$B,2,FALSE),0)</f>
        <v/>
      </c>
      <c r="K214" s="2">
        <f>J214*G214</f>
        <v/>
      </c>
      <c r="L214" s="2">
        <f>IF(H214="F",0,G214)</f>
        <v/>
      </c>
    </row>
    <row r="215">
      <c r="A215" s="2" t="inlineStr">
        <is>
          <t>m250205</t>
        </is>
      </c>
      <c r="B215" s="2">
        <f>IFERROR(VLOOKUP(A215,Students!$A:$B,2,FALSE),"")</f>
        <v/>
      </c>
      <c r="C215" s="2" t="inlineStr">
        <is>
          <t>Spring 2025</t>
        </is>
      </c>
      <c r="D215" s="2" t="inlineStr">
        <is>
          <t>Semester 1</t>
        </is>
      </c>
      <c r="E215" s="2" t="inlineStr">
        <is>
          <t>DSC 530</t>
        </is>
      </c>
      <c r="F215" s="2">
        <f>IFERROR(VLOOKUP(E215,Courses!$A:$C,2,FALSE),"")</f>
        <v/>
      </c>
      <c r="G215" s="2">
        <f>IFERROR(VLOOKUP(E215,Courses!$A:$C,3,FALSE),0)</f>
        <v/>
      </c>
      <c r="H215" s="2" t="inlineStr">
        <is>
          <t>C+</t>
        </is>
      </c>
      <c r="I215" s="2" t="n">
        <v>77</v>
      </c>
      <c r="J215" s="2">
        <f>IFERROR(VLOOKUP(H215,'Grade Scale'!$A:$B,2,FALSE),0)</f>
        <v/>
      </c>
      <c r="K215" s="2">
        <f>J215*G215</f>
        <v/>
      </c>
      <c r="L215" s="2">
        <f>IF(H215="F",0,G215)</f>
        <v/>
      </c>
    </row>
    <row r="216">
      <c r="A216" s="2" t="inlineStr">
        <is>
          <t>m250205</t>
        </is>
      </c>
      <c r="B216" s="2">
        <f>IFERROR(VLOOKUP(A216,Students!$A:$B,2,FALSE),"")</f>
        <v/>
      </c>
      <c r="C216" s="2" t="inlineStr">
        <is>
          <t>Spring 2025</t>
        </is>
      </c>
      <c r="D216" s="2" t="inlineStr">
        <is>
          <t>Semester 1</t>
        </is>
      </c>
      <c r="E216" s="2" t="inlineStr">
        <is>
          <t>DSC 540</t>
        </is>
      </c>
      <c r="F216" s="2">
        <f>IFERROR(VLOOKUP(E216,Courses!$A:$C,2,FALSE),"")</f>
        <v/>
      </c>
      <c r="G216" s="2">
        <f>IFERROR(VLOOKUP(E216,Courses!$A:$C,3,FALSE),0)</f>
        <v/>
      </c>
      <c r="H216" s="2" t="inlineStr">
        <is>
          <t>C</t>
        </is>
      </c>
      <c r="I216" s="2" t="n">
        <v>74</v>
      </c>
      <c r="J216" s="2">
        <f>IFERROR(VLOOKUP(H216,'Grade Scale'!$A:$B,2,FALSE),0)</f>
        <v/>
      </c>
      <c r="K216" s="2">
        <f>J216*G216</f>
        <v/>
      </c>
      <c r="L216" s="2">
        <f>IF(H216="F",0,G216)</f>
        <v/>
      </c>
    </row>
    <row r="217">
      <c r="A217" s="2" t="inlineStr">
        <is>
          <t>m250205</t>
        </is>
      </c>
      <c r="B217" s="2">
        <f>IFERROR(VLOOKUP(A217,Students!$A:$B,2,FALSE),"")</f>
        <v/>
      </c>
      <c r="C217" s="2" t="inlineStr">
        <is>
          <t>Fall 2025</t>
        </is>
      </c>
      <c r="D217" s="2" t="inlineStr">
        <is>
          <t>Semester 2</t>
        </is>
      </c>
      <c r="E217" s="2" t="inlineStr">
        <is>
          <t>DSC 550</t>
        </is>
      </c>
      <c r="F217" s="2">
        <f>IFERROR(VLOOKUP(E217,Courses!$A:$C,2,FALSE),"")</f>
        <v/>
      </c>
      <c r="G217" s="2">
        <f>IFERROR(VLOOKUP(E217,Courses!$A:$C,3,FALSE),0)</f>
        <v/>
      </c>
      <c r="H217" s="2" t="inlineStr">
        <is>
          <t>B+</t>
        </is>
      </c>
      <c r="I217" s="2" t="n">
        <v>89</v>
      </c>
      <c r="J217" s="2">
        <f>IFERROR(VLOOKUP(H217,'Grade Scale'!$A:$B,2,FALSE),0)</f>
        <v/>
      </c>
      <c r="K217" s="2">
        <f>J217*G217</f>
        <v/>
      </c>
      <c r="L217" s="2">
        <f>IF(H217="F",0,G217)</f>
        <v/>
      </c>
    </row>
    <row r="218">
      <c r="A218" s="2" t="inlineStr">
        <is>
          <t>m250205</t>
        </is>
      </c>
      <c r="B218" s="2">
        <f>IFERROR(VLOOKUP(A218,Students!$A:$B,2,FALSE),"")</f>
        <v/>
      </c>
      <c r="C218" s="2" t="inlineStr">
        <is>
          <t>Fall 2025</t>
        </is>
      </c>
      <c r="D218" s="2" t="inlineStr">
        <is>
          <t>Semester 2</t>
        </is>
      </c>
      <c r="E218" s="2" t="inlineStr">
        <is>
          <t>DSC 560</t>
        </is>
      </c>
      <c r="F218" s="2">
        <f>IFERROR(VLOOKUP(E218,Courses!$A:$C,2,FALSE),"")</f>
        <v/>
      </c>
      <c r="G218" s="2">
        <f>IFERROR(VLOOKUP(E218,Courses!$A:$C,3,FALSE),0)</f>
        <v/>
      </c>
      <c r="H218" s="2" t="inlineStr">
        <is>
          <t>B+</t>
        </is>
      </c>
      <c r="I218" s="2" t="n">
        <v>88</v>
      </c>
      <c r="J218" s="2">
        <f>IFERROR(VLOOKUP(H218,'Grade Scale'!$A:$B,2,FALSE),0)</f>
        <v/>
      </c>
      <c r="K218" s="2">
        <f>J218*G218</f>
        <v/>
      </c>
      <c r="L218" s="2">
        <f>IF(H218="F",0,G218)</f>
        <v/>
      </c>
    </row>
    <row r="219">
      <c r="A219" s="2" t="inlineStr">
        <is>
          <t>m250205</t>
        </is>
      </c>
      <c r="B219" s="2">
        <f>IFERROR(VLOOKUP(A219,Students!$A:$B,2,FALSE),"")</f>
        <v/>
      </c>
      <c r="C219" s="2" t="inlineStr">
        <is>
          <t>Fall 2025</t>
        </is>
      </c>
      <c r="D219" s="2" t="inlineStr">
        <is>
          <t>Semester 2</t>
        </is>
      </c>
      <c r="E219" s="2" t="inlineStr">
        <is>
          <t>DSC 570</t>
        </is>
      </c>
      <c r="F219" s="2">
        <f>IFERROR(VLOOKUP(E219,Courses!$A:$C,2,FALSE),"")</f>
        <v/>
      </c>
      <c r="G219" s="2">
        <f>IFERROR(VLOOKUP(E219,Courses!$A:$C,3,FALSE),0)</f>
        <v/>
      </c>
      <c r="H219" s="2" t="inlineStr">
        <is>
          <t>C</t>
        </is>
      </c>
      <c r="I219" s="2" t="n">
        <v>76</v>
      </c>
      <c r="J219" s="2">
        <f>IFERROR(VLOOKUP(H219,'Grade Scale'!$A:$B,2,FALSE),0)</f>
        <v/>
      </c>
      <c r="K219" s="2">
        <f>J219*G219</f>
        <v/>
      </c>
      <c r="L219" s="2">
        <f>IF(H219="F",0,G219)</f>
        <v/>
      </c>
    </row>
    <row r="220">
      <c r="A220" s="2" t="inlineStr">
        <is>
          <t>m250205</t>
        </is>
      </c>
      <c r="B220" s="2">
        <f>IFERROR(VLOOKUP(A220,Students!$A:$B,2,FALSE),"")</f>
        <v/>
      </c>
      <c r="C220" s="2" t="inlineStr">
        <is>
          <t>Fall 2025</t>
        </is>
      </c>
      <c r="D220" s="2" t="inlineStr">
        <is>
          <t>Semester 2</t>
        </is>
      </c>
      <c r="E220" s="2" t="inlineStr">
        <is>
          <t>DSC 580</t>
        </is>
      </c>
      <c r="F220" s="2">
        <f>IFERROR(VLOOKUP(E220,Courses!$A:$C,2,FALSE),"")</f>
        <v/>
      </c>
      <c r="G220" s="2">
        <f>IFERROR(VLOOKUP(E220,Courses!$A:$C,3,FALSE),0)</f>
        <v/>
      </c>
      <c r="H220" s="2" t="inlineStr">
        <is>
          <t>B+</t>
        </is>
      </c>
      <c r="I220" s="2" t="n">
        <v>88</v>
      </c>
      <c r="J220" s="2">
        <f>IFERROR(VLOOKUP(H220,'Grade Scale'!$A:$B,2,FALSE),0)</f>
        <v/>
      </c>
      <c r="K220" s="2">
        <f>J220*G220</f>
        <v/>
      </c>
      <c r="L220" s="2">
        <f>IF(H220="F",0,G220)</f>
        <v/>
      </c>
    </row>
    <row r="221">
      <c r="A221" s="2" t="inlineStr">
        <is>
          <t>m250205</t>
        </is>
      </c>
      <c r="B221" s="2">
        <f>IFERROR(VLOOKUP(A221,Students!$A:$B,2,FALSE),"")</f>
        <v/>
      </c>
      <c r="C221" s="2" t="inlineStr">
        <is>
          <t>Fall 2025</t>
        </is>
      </c>
      <c r="D221" s="2" t="inlineStr">
        <is>
          <t>Semester 2</t>
        </is>
      </c>
      <c r="E221" s="2" t="inlineStr">
        <is>
          <t>DSC 590</t>
        </is>
      </c>
      <c r="F221" s="2">
        <f>IFERROR(VLOOKUP(E221,Courses!$A:$C,2,FALSE),"")</f>
        <v/>
      </c>
      <c r="G221" s="2">
        <f>IFERROR(VLOOKUP(E221,Courses!$A:$C,3,FALSE),0)</f>
        <v/>
      </c>
      <c r="H221" s="2" t="inlineStr">
        <is>
          <t>B-</t>
        </is>
      </c>
      <c r="I221" s="2" t="n">
        <v>82</v>
      </c>
      <c r="J221" s="2">
        <f>IFERROR(VLOOKUP(H221,'Grade Scale'!$A:$B,2,FALSE),0)</f>
        <v/>
      </c>
      <c r="K221" s="2">
        <f>J221*G221</f>
        <v/>
      </c>
      <c r="L221" s="2">
        <f>IF(H221="F",0,G221)</f>
        <v/>
      </c>
    </row>
    <row r="222">
      <c r="A222" s="2" t="inlineStr">
        <is>
          <t>m250205</t>
        </is>
      </c>
      <c r="B222" s="2">
        <f>IFERROR(VLOOKUP(A222,Students!$A:$B,2,FALSE),"")</f>
        <v/>
      </c>
      <c r="C222" s="2" t="inlineStr">
        <is>
          <t>Spring 2026</t>
        </is>
      </c>
      <c r="D222" s="2" t="inlineStr">
        <is>
          <t>Semester 3</t>
        </is>
      </c>
      <c r="E222" s="2" t="inlineStr">
        <is>
          <t>DSC 610</t>
        </is>
      </c>
      <c r="F222" s="2">
        <f>IFERROR(VLOOKUP(E222,Courses!$A:$C,2,FALSE),"")</f>
        <v/>
      </c>
      <c r="G222" s="2">
        <f>IFERROR(VLOOKUP(E222,Courses!$A:$C,3,FALSE),0)</f>
        <v/>
      </c>
      <c r="H222" s="2" t="inlineStr">
        <is>
          <t>B+</t>
        </is>
      </c>
      <c r="I222" s="2" t="n">
        <v>87</v>
      </c>
      <c r="J222" s="2">
        <f>IFERROR(VLOOKUP(H222,'Grade Scale'!$A:$B,2,FALSE),0)</f>
        <v/>
      </c>
      <c r="K222" s="2">
        <f>J222*G222</f>
        <v/>
      </c>
      <c r="L222" s="2">
        <f>IF(H222="F",0,G222)</f>
        <v/>
      </c>
    </row>
    <row r="223">
      <c r="A223" s="2" t="inlineStr">
        <is>
          <t>m250205</t>
        </is>
      </c>
      <c r="B223" s="2">
        <f>IFERROR(VLOOKUP(A223,Students!$A:$B,2,FALSE),"")</f>
        <v/>
      </c>
      <c r="C223" s="2" t="inlineStr">
        <is>
          <t>Spring 2026</t>
        </is>
      </c>
      <c r="D223" s="2" t="inlineStr">
        <is>
          <t>Semester 3</t>
        </is>
      </c>
      <c r="E223" s="2" t="inlineStr">
        <is>
          <t>DSC 620</t>
        </is>
      </c>
      <c r="F223" s="2">
        <f>IFERROR(VLOOKUP(E223,Courses!$A:$C,2,FALSE),"")</f>
        <v/>
      </c>
      <c r="G223" s="2">
        <f>IFERROR(VLOOKUP(E223,Courses!$A:$C,3,FALSE),0)</f>
        <v/>
      </c>
      <c r="H223" s="2" t="inlineStr">
        <is>
          <t>B+</t>
        </is>
      </c>
      <c r="I223" s="2" t="n">
        <v>89</v>
      </c>
      <c r="J223" s="2">
        <f>IFERROR(VLOOKUP(H223,'Grade Scale'!$A:$B,2,FALSE),0)</f>
        <v/>
      </c>
      <c r="K223" s="2">
        <f>J223*G223</f>
        <v/>
      </c>
      <c r="L223" s="2">
        <f>IF(H223="F",0,G223)</f>
        <v/>
      </c>
    </row>
    <row r="224">
      <c r="A224" s="2" t="inlineStr">
        <is>
          <t>m250205</t>
        </is>
      </c>
      <c r="B224" s="2">
        <f>IFERROR(VLOOKUP(A224,Students!$A:$B,2,FALSE),"")</f>
        <v/>
      </c>
      <c r="C224" s="2" t="inlineStr">
        <is>
          <t>Spring 2026</t>
        </is>
      </c>
      <c r="D224" s="2" t="inlineStr">
        <is>
          <t>Semester 3</t>
        </is>
      </c>
      <c r="E224" s="2" t="inlineStr">
        <is>
          <t>DSC 630</t>
        </is>
      </c>
      <c r="F224" s="2">
        <f>IFERROR(VLOOKUP(E224,Courses!$A:$C,2,FALSE),"")</f>
        <v/>
      </c>
      <c r="G224" s="2">
        <f>IFERROR(VLOOKUP(E224,Courses!$A:$C,3,FALSE),0)</f>
        <v/>
      </c>
      <c r="H224" s="2" t="inlineStr">
        <is>
          <t>C</t>
        </is>
      </c>
      <c r="I224" s="2" t="n">
        <v>76</v>
      </c>
      <c r="J224" s="2">
        <f>IFERROR(VLOOKUP(H224,'Grade Scale'!$A:$B,2,FALSE),0)</f>
        <v/>
      </c>
      <c r="K224" s="2">
        <f>J224*G224</f>
        <v/>
      </c>
      <c r="L224" s="2">
        <f>IF(H224="F",0,G224)</f>
        <v/>
      </c>
    </row>
    <row r="225">
      <c r="A225" s="2" t="inlineStr">
        <is>
          <t>m250205</t>
        </is>
      </c>
      <c r="B225" s="2">
        <f>IFERROR(VLOOKUP(A225,Students!$A:$B,2,FALSE),"")</f>
        <v/>
      </c>
      <c r="C225" s="2" t="inlineStr">
        <is>
          <t>Spring 2026</t>
        </is>
      </c>
      <c r="D225" s="2" t="inlineStr">
        <is>
          <t>Semester 3</t>
        </is>
      </c>
      <c r="E225" s="2" t="inlineStr">
        <is>
          <t>DSC 640</t>
        </is>
      </c>
      <c r="F225" s="2">
        <f>IFERROR(VLOOKUP(E225,Courses!$A:$C,2,FALSE),"")</f>
        <v/>
      </c>
      <c r="G225" s="2">
        <f>IFERROR(VLOOKUP(E225,Courses!$A:$C,3,FALSE),0)</f>
        <v/>
      </c>
      <c r="H225" s="2" t="inlineStr">
        <is>
          <t>B-</t>
        </is>
      </c>
      <c r="I225" s="2" t="n">
        <v>80</v>
      </c>
      <c r="J225" s="2">
        <f>IFERROR(VLOOKUP(H225,'Grade Scale'!$A:$B,2,FALSE),0)</f>
        <v/>
      </c>
      <c r="K225" s="2">
        <f>J225*G225</f>
        <v/>
      </c>
      <c r="L225" s="2">
        <f>IF(H225="F",0,G225)</f>
        <v/>
      </c>
    </row>
    <row r="226">
      <c r="A226" s="2" t="inlineStr">
        <is>
          <t>m250205</t>
        </is>
      </c>
      <c r="B226" s="2">
        <f>IFERROR(VLOOKUP(A226,Students!$A:$B,2,FALSE),"")</f>
        <v/>
      </c>
      <c r="C226" s="2" t="inlineStr">
        <is>
          <t>Spring 2026</t>
        </is>
      </c>
      <c r="D226" s="2" t="inlineStr">
        <is>
          <t>Semester 3</t>
        </is>
      </c>
      <c r="E226" s="2" t="inlineStr">
        <is>
          <t>DSC 690</t>
        </is>
      </c>
      <c r="F226" s="2">
        <f>IFERROR(VLOOKUP(E226,Courses!$A:$C,2,FALSE),"")</f>
        <v/>
      </c>
      <c r="G226" s="2">
        <f>IFERROR(VLOOKUP(E226,Courses!$A:$C,3,FALSE),0)</f>
        <v/>
      </c>
      <c r="H226" s="2" t="inlineStr">
        <is>
          <t>A-</t>
        </is>
      </c>
      <c r="I226" s="2" t="n">
        <v>90</v>
      </c>
      <c r="J226" s="2">
        <f>IFERROR(VLOOKUP(H226,'Grade Scale'!$A:$B,2,FALSE),0)</f>
        <v/>
      </c>
      <c r="K226" s="2">
        <f>J226*G226</f>
        <v/>
      </c>
      <c r="L226" s="2">
        <f>IF(H226="F",0,G226)</f>
        <v/>
      </c>
    </row>
    <row r="227">
      <c r="A227" s="2" t="inlineStr">
        <is>
          <t>m250206</t>
        </is>
      </c>
      <c r="B227" s="2">
        <f>IFERROR(VLOOKUP(A227,Students!$A:$B,2,FALSE),"")</f>
        <v/>
      </c>
      <c r="C227" s="2" t="inlineStr">
        <is>
          <t>Spring 2025</t>
        </is>
      </c>
      <c r="D227" s="2" t="inlineStr">
        <is>
          <t>Semester 1</t>
        </is>
      </c>
      <c r="E227" s="2" t="inlineStr">
        <is>
          <t>IRL 501</t>
        </is>
      </c>
      <c r="F227" s="2">
        <f>IFERROR(VLOOKUP(E227,Courses!$A:$C,2,FALSE),"")</f>
        <v/>
      </c>
      <c r="G227" s="2">
        <f>IFERROR(VLOOKUP(E227,Courses!$A:$C,3,FALSE),0)</f>
        <v/>
      </c>
      <c r="H227" s="2" t="inlineStr">
        <is>
          <t>A</t>
        </is>
      </c>
      <c r="I227" s="2" t="n">
        <v>93</v>
      </c>
      <c r="J227" s="2">
        <f>IFERROR(VLOOKUP(H227,'Grade Scale'!$A:$B,2,FALSE),0)</f>
        <v/>
      </c>
      <c r="K227" s="2">
        <f>J227*G227</f>
        <v/>
      </c>
      <c r="L227" s="2">
        <f>IF(H227="F",0,G227)</f>
        <v/>
      </c>
    </row>
    <row r="228">
      <c r="A228" s="2" t="inlineStr">
        <is>
          <t>m250206</t>
        </is>
      </c>
      <c r="B228" s="2">
        <f>IFERROR(VLOOKUP(A228,Students!$A:$B,2,FALSE),"")</f>
        <v/>
      </c>
      <c r="C228" s="2" t="inlineStr">
        <is>
          <t>Spring 2025</t>
        </is>
      </c>
      <c r="D228" s="2" t="inlineStr">
        <is>
          <t>Semester 1</t>
        </is>
      </c>
      <c r="E228" s="2" t="inlineStr">
        <is>
          <t>IRL 510</t>
        </is>
      </c>
      <c r="F228" s="2">
        <f>IFERROR(VLOOKUP(E228,Courses!$A:$C,2,FALSE),"")</f>
        <v/>
      </c>
      <c r="G228" s="2">
        <f>IFERROR(VLOOKUP(E228,Courses!$A:$C,3,FALSE),0)</f>
        <v/>
      </c>
      <c r="H228" s="2" t="inlineStr">
        <is>
          <t>B-</t>
        </is>
      </c>
      <c r="I228" s="2" t="n">
        <v>80</v>
      </c>
      <c r="J228" s="2">
        <f>IFERROR(VLOOKUP(H228,'Grade Scale'!$A:$B,2,FALSE),0)</f>
        <v/>
      </c>
      <c r="K228" s="2">
        <f>J228*G228</f>
        <v/>
      </c>
      <c r="L228" s="2">
        <f>IF(H228="F",0,G228)</f>
        <v/>
      </c>
    </row>
    <row r="229">
      <c r="A229" s="2" t="inlineStr">
        <is>
          <t>m250206</t>
        </is>
      </c>
      <c r="B229" s="2">
        <f>IFERROR(VLOOKUP(A229,Students!$A:$B,2,FALSE),"")</f>
        <v/>
      </c>
      <c r="C229" s="2" t="inlineStr">
        <is>
          <t>Spring 2025</t>
        </is>
      </c>
      <c r="D229" s="2" t="inlineStr">
        <is>
          <t>Semester 1</t>
        </is>
      </c>
      <c r="E229" s="2" t="inlineStr">
        <is>
          <t>IRL 520</t>
        </is>
      </c>
      <c r="F229" s="2">
        <f>IFERROR(VLOOKUP(E229,Courses!$A:$C,2,FALSE),"")</f>
        <v/>
      </c>
      <c r="G229" s="2">
        <f>IFERROR(VLOOKUP(E229,Courses!$A:$C,3,FALSE),0)</f>
        <v/>
      </c>
      <c r="H229" s="2" t="inlineStr">
        <is>
          <t>B</t>
        </is>
      </c>
      <c r="I229" s="2" t="n">
        <v>84</v>
      </c>
      <c r="J229" s="2">
        <f>IFERROR(VLOOKUP(H229,'Grade Scale'!$A:$B,2,FALSE),0)</f>
        <v/>
      </c>
      <c r="K229" s="2">
        <f>J229*G229</f>
        <v/>
      </c>
      <c r="L229" s="2">
        <f>IF(H229="F",0,G229)</f>
        <v/>
      </c>
    </row>
    <row r="230">
      <c r="A230" s="2" t="inlineStr">
        <is>
          <t>m250206</t>
        </is>
      </c>
      <c r="B230" s="2">
        <f>IFERROR(VLOOKUP(A230,Students!$A:$B,2,FALSE),"")</f>
        <v/>
      </c>
      <c r="C230" s="2" t="inlineStr">
        <is>
          <t>Spring 2025</t>
        </is>
      </c>
      <c r="D230" s="2" t="inlineStr">
        <is>
          <t>Semester 1</t>
        </is>
      </c>
      <c r="E230" s="2" t="inlineStr">
        <is>
          <t>IRL 530</t>
        </is>
      </c>
      <c r="F230" s="2">
        <f>IFERROR(VLOOKUP(E230,Courses!$A:$C,2,FALSE),"")</f>
        <v/>
      </c>
      <c r="G230" s="2">
        <f>IFERROR(VLOOKUP(E230,Courses!$A:$C,3,FALSE),0)</f>
        <v/>
      </c>
      <c r="H230" s="2" t="inlineStr">
        <is>
          <t>B+</t>
        </is>
      </c>
      <c r="I230" s="2" t="n">
        <v>88</v>
      </c>
      <c r="J230" s="2">
        <f>IFERROR(VLOOKUP(H230,'Grade Scale'!$A:$B,2,FALSE),0)</f>
        <v/>
      </c>
      <c r="K230" s="2">
        <f>J230*G230</f>
        <v/>
      </c>
      <c r="L230" s="2">
        <f>IF(H230="F",0,G230)</f>
        <v/>
      </c>
    </row>
    <row r="231">
      <c r="A231" s="2" t="inlineStr">
        <is>
          <t>m250206</t>
        </is>
      </c>
      <c r="B231" s="2">
        <f>IFERROR(VLOOKUP(A231,Students!$A:$B,2,FALSE),"")</f>
        <v/>
      </c>
      <c r="C231" s="2" t="inlineStr">
        <is>
          <t>Spring 2025</t>
        </is>
      </c>
      <c r="D231" s="2" t="inlineStr">
        <is>
          <t>Semester 1</t>
        </is>
      </c>
      <c r="E231" s="2" t="inlineStr">
        <is>
          <t>IRL 540</t>
        </is>
      </c>
      <c r="F231" s="2">
        <f>IFERROR(VLOOKUP(E231,Courses!$A:$C,2,FALSE),"")</f>
        <v/>
      </c>
      <c r="G231" s="2">
        <f>IFERROR(VLOOKUP(E231,Courses!$A:$C,3,FALSE),0)</f>
        <v/>
      </c>
      <c r="H231" s="2" t="inlineStr">
        <is>
          <t>A-</t>
        </is>
      </c>
      <c r="I231" s="2" t="n">
        <v>92</v>
      </c>
      <c r="J231" s="2">
        <f>IFERROR(VLOOKUP(H231,'Grade Scale'!$A:$B,2,FALSE),0)</f>
        <v/>
      </c>
      <c r="K231" s="2">
        <f>J231*G231</f>
        <v/>
      </c>
      <c r="L231" s="2">
        <f>IF(H231="F",0,G231)</f>
        <v/>
      </c>
    </row>
    <row r="232">
      <c r="A232" s="2" t="inlineStr">
        <is>
          <t>m250206</t>
        </is>
      </c>
      <c r="B232" s="2">
        <f>IFERROR(VLOOKUP(A232,Students!$A:$B,2,FALSE),"")</f>
        <v/>
      </c>
      <c r="C232" s="2" t="inlineStr">
        <is>
          <t>Fall 2025</t>
        </is>
      </c>
      <c r="D232" s="2" t="inlineStr">
        <is>
          <t>Semester 2</t>
        </is>
      </c>
      <c r="E232" s="2" t="inlineStr">
        <is>
          <t>IRL 550</t>
        </is>
      </c>
      <c r="F232" s="2">
        <f>IFERROR(VLOOKUP(E232,Courses!$A:$C,2,FALSE),"")</f>
        <v/>
      </c>
      <c r="G232" s="2">
        <f>IFERROR(VLOOKUP(E232,Courses!$A:$C,3,FALSE),0)</f>
        <v/>
      </c>
      <c r="H232" s="2" t="inlineStr">
        <is>
          <t>B</t>
        </is>
      </c>
      <c r="I232" s="2" t="n">
        <v>86</v>
      </c>
      <c r="J232" s="2">
        <f>IFERROR(VLOOKUP(H232,'Grade Scale'!$A:$B,2,FALSE),0)</f>
        <v/>
      </c>
      <c r="K232" s="2">
        <f>J232*G232</f>
        <v/>
      </c>
      <c r="L232" s="2">
        <f>IF(H232="F",0,G232)</f>
        <v/>
      </c>
    </row>
    <row r="233">
      <c r="A233" s="2" t="inlineStr">
        <is>
          <t>m250206</t>
        </is>
      </c>
      <c r="B233" s="2">
        <f>IFERROR(VLOOKUP(A233,Students!$A:$B,2,FALSE),"")</f>
        <v/>
      </c>
      <c r="C233" s="2" t="inlineStr">
        <is>
          <t>Fall 2025</t>
        </is>
      </c>
      <c r="D233" s="2" t="inlineStr">
        <is>
          <t>Semester 2</t>
        </is>
      </c>
      <c r="E233" s="2" t="inlineStr">
        <is>
          <t>IRL 560</t>
        </is>
      </c>
      <c r="F233" s="2">
        <f>IFERROR(VLOOKUP(E233,Courses!$A:$C,2,FALSE),"")</f>
        <v/>
      </c>
      <c r="G233" s="2">
        <f>IFERROR(VLOOKUP(E233,Courses!$A:$C,3,FALSE),0)</f>
        <v/>
      </c>
      <c r="H233" s="2" t="inlineStr">
        <is>
          <t>A</t>
        </is>
      </c>
      <c r="I233" s="2" t="n">
        <v>95</v>
      </c>
      <c r="J233" s="2">
        <f>IFERROR(VLOOKUP(H233,'Grade Scale'!$A:$B,2,FALSE),0)</f>
        <v/>
      </c>
      <c r="K233" s="2">
        <f>J233*G233</f>
        <v/>
      </c>
      <c r="L233" s="2">
        <f>IF(H233="F",0,G233)</f>
        <v/>
      </c>
    </row>
    <row r="234">
      <c r="A234" s="2" t="inlineStr">
        <is>
          <t>m250206</t>
        </is>
      </c>
      <c r="B234" s="2">
        <f>IFERROR(VLOOKUP(A234,Students!$A:$B,2,FALSE),"")</f>
        <v/>
      </c>
      <c r="C234" s="2" t="inlineStr">
        <is>
          <t>Fall 2025</t>
        </is>
      </c>
      <c r="D234" s="2" t="inlineStr">
        <is>
          <t>Semester 2</t>
        </is>
      </c>
      <c r="E234" s="2" t="inlineStr">
        <is>
          <t>IRL 570</t>
        </is>
      </c>
      <c r="F234" s="2">
        <f>IFERROR(VLOOKUP(E234,Courses!$A:$C,2,FALSE),"")</f>
        <v/>
      </c>
      <c r="G234" s="2">
        <f>IFERROR(VLOOKUP(E234,Courses!$A:$C,3,FALSE),0)</f>
        <v/>
      </c>
      <c r="H234" s="2" t="inlineStr">
        <is>
          <t>A-</t>
        </is>
      </c>
      <c r="I234" s="2" t="n">
        <v>91</v>
      </c>
      <c r="J234" s="2">
        <f>IFERROR(VLOOKUP(H234,'Grade Scale'!$A:$B,2,FALSE),0)</f>
        <v/>
      </c>
      <c r="K234" s="2">
        <f>J234*G234</f>
        <v/>
      </c>
      <c r="L234" s="2">
        <f>IF(H234="F",0,G234)</f>
        <v/>
      </c>
    </row>
    <row r="235">
      <c r="A235" s="2" t="inlineStr">
        <is>
          <t>m250206</t>
        </is>
      </c>
      <c r="B235" s="2">
        <f>IFERROR(VLOOKUP(A235,Students!$A:$B,2,FALSE),"")</f>
        <v/>
      </c>
      <c r="C235" s="2" t="inlineStr">
        <is>
          <t>Fall 2025</t>
        </is>
      </c>
      <c r="D235" s="2" t="inlineStr">
        <is>
          <t>Semester 2</t>
        </is>
      </c>
      <c r="E235" s="2" t="inlineStr">
        <is>
          <t>IRL 580</t>
        </is>
      </c>
      <c r="F235" s="2">
        <f>IFERROR(VLOOKUP(E235,Courses!$A:$C,2,FALSE),"")</f>
        <v/>
      </c>
      <c r="G235" s="2">
        <f>IFERROR(VLOOKUP(E235,Courses!$A:$C,3,FALSE),0)</f>
        <v/>
      </c>
      <c r="H235" s="2" t="inlineStr">
        <is>
          <t>A-</t>
        </is>
      </c>
      <c r="I235" s="2" t="n">
        <v>90</v>
      </c>
      <c r="J235" s="2">
        <f>IFERROR(VLOOKUP(H235,'Grade Scale'!$A:$B,2,FALSE),0)</f>
        <v/>
      </c>
      <c r="K235" s="2">
        <f>J235*G235</f>
        <v/>
      </c>
      <c r="L235" s="2">
        <f>IF(H235="F",0,G235)</f>
        <v/>
      </c>
    </row>
    <row r="236">
      <c r="A236" s="2" t="inlineStr">
        <is>
          <t>m250206</t>
        </is>
      </c>
      <c r="B236" s="2">
        <f>IFERROR(VLOOKUP(A236,Students!$A:$B,2,FALSE),"")</f>
        <v/>
      </c>
      <c r="C236" s="2" t="inlineStr">
        <is>
          <t>Fall 2025</t>
        </is>
      </c>
      <c r="D236" s="2" t="inlineStr">
        <is>
          <t>Semester 2</t>
        </is>
      </c>
      <c r="E236" s="2" t="inlineStr">
        <is>
          <t>IRL 590</t>
        </is>
      </c>
      <c r="F236" s="2">
        <f>IFERROR(VLOOKUP(E236,Courses!$A:$C,2,FALSE),"")</f>
        <v/>
      </c>
      <c r="G236" s="2">
        <f>IFERROR(VLOOKUP(E236,Courses!$A:$C,3,FALSE),0)</f>
        <v/>
      </c>
      <c r="H236" s="2" t="inlineStr">
        <is>
          <t>A-</t>
        </is>
      </c>
      <c r="I236" s="2" t="n">
        <v>91</v>
      </c>
      <c r="J236" s="2">
        <f>IFERROR(VLOOKUP(H236,'Grade Scale'!$A:$B,2,FALSE),0)</f>
        <v/>
      </c>
      <c r="K236" s="2">
        <f>J236*G236</f>
        <v/>
      </c>
      <c r="L236" s="2">
        <f>IF(H236="F",0,G236)</f>
        <v/>
      </c>
    </row>
    <row r="237">
      <c r="A237" s="2" t="inlineStr">
        <is>
          <t>m250206</t>
        </is>
      </c>
      <c r="B237" s="2">
        <f>IFERROR(VLOOKUP(A237,Students!$A:$B,2,FALSE),"")</f>
        <v/>
      </c>
      <c r="C237" s="2" t="inlineStr">
        <is>
          <t>Spring 2026</t>
        </is>
      </c>
      <c r="D237" s="2" t="inlineStr">
        <is>
          <t>Semester 3</t>
        </is>
      </c>
      <c r="E237" s="2" t="inlineStr">
        <is>
          <t>IRL 610</t>
        </is>
      </c>
      <c r="F237" s="2">
        <f>IFERROR(VLOOKUP(E237,Courses!$A:$C,2,FALSE),"")</f>
        <v/>
      </c>
      <c r="G237" s="2">
        <f>IFERROR(VLOOKUP(E237,Courses!$A:$C,3,FALSE),0)</f>
        <v/>
      </c>
      <c r="H237" s="2" t="inlineStr">
        <is>
          <t>B</t>
        </is>
      </c>
      <c r="I237" s="2" t="n">
        <v>86</v>
      </c>
      <c r="J237" s="2">
        <f>IFERROR(VLOOKUP(H237,'Grade Scale'!$A:$B,2,FALSE),0)</f>
        <v/>
      </c>
      <c r="K237" s="2">
        <f>J237*G237</f>
        <v/>
      </c>
      <c r="L237" s="2">
        <f>IF(H237="F",0,G237)</f>
        <v/>
      </c>
    </row>
    <row r="238">
      <c r="A238" s="2" t="inlineStr">
        <is>
          <t>m250206</t>
        </is>
      </c>
      <c r="B238" s="2">
        <f>IFERROR(VLOOKUP(A238,Students!$A:$B,2,FALSE),"")</f>
        <v/>
      </c>
      <c r="C238" s="2" t="inlineStr">
        <is>
          <t>Spring 2026</t>
        </is>
      </c>
      <c r="D238" s="2" t="inlineStr">
        <is>
          <t>Semester 3</t>
        </is>
      </c>
      <c r="E238" s="2" t="inlineStr">
        <is>
          <t>IRL 620</t>
        </is>
      </c>
      <c r="F238" s="2">
        <f>IFERROR(VLOOKUP(E238,Courses!$A:$C,2,FALSE),"")</f>
        <v/>
      </c>
      <c r="G238" s="2">
        <f>IFERROR(VLOOKUP(E238,Courses!$A:$C,3,FALSE),0)</f>
        <v/>
      </c>
      <c r="H238" s="2" t="inlineStr">
        <is>
          <t>B</t>
        </is>
      </c>
      <c r="I238" s="2" t="n">
        <v>83</v>
      </c>
      <c r="J238" s="2">
        <f>IFERROR(VLOOKUP(H238,'Grade Scale'!$A:$B,2,FALSE),0)</f>
        <v/>
      </c>
      <c r="K238" s="2">
        <f>J238*G238</f>
        <v/>
      </c>
      <c r="L238" s="2">
        <f>IF(H238="F",0,G238)</f>
        <v/>
      </c>
    </row>
    <row r="239">
      <c r="A239" s="2" t="inlineStr">
        <is>
          <t>m250206</t>
        </is>
      </c>
      <c r="B239" s="2">
        <f>IFERROR(VLOOKUP(A239,Students!$A:$B,2,FALSE),"")</f>
        <v/>
      </c>
      <c r="C239" s="2" t="inlineStr">
        <is>
          <t>Spring 2026</t>
        </is>
      </c>
      <c r="D239" s="2" t="inlineStr">
        <is>
          <t>Semester 3</t>
        </is>
      </c>
      <c r="E239" s="2" t="inlineStr">
        <is>
          <t>IRL 630</t>
        </is>
      </c>
      <c r="F239" s="2">
        <f>IFERROR(VLOOKUP(E239,Courses!$A:$C,2,FALSE),"")</f>
        <v/>
      </c>
      <c r="G239" s="2">
        <f>IFERROR(VLOOKUP(E239,Courses!$A:$C,3,FALSE),0)</f>
        <v/>
      </c>
      <c r="H239" s="2" t="inlineStr">
        <is>
          <t>C+</t>
        </is>
      </c>
      <c r="I239" s="2" t="n">
        <v>78</v>
      </c>
      <c r="J239" s="2">
        <f>IFERROR(VLOOKUP(H239,'Grade Scale'!$A:$B,2,FALSE),0)</f>
        <v/>
      </c>
      <c r="K239" s="2">
        <f>J239*G239</f>
        <v/>
      </c>
      <c r="L239" s="2">
        <f>IF(H239="F",0,G239)</f>
        <v/>
      </c>
    </row>
    <row r="240">
      <c r="A240" s="2" t="inlineStr">
        <is>
          <t>m250206</t>
        </is>
      </c>
      <c r="B240" s="2">
        <f>IFERROR(VLOOKUP(A240,Students!$A:$B,2,FALSE),"")</f>
        <v/>
      </c>
      <c r="C240" s="2" t="inlineStr">
        <is>
          <t>Spring 2026</t>
        </is>
      </c>
      <c r="D240" s="2" t="inlineStr">
        <is>
          <t>Semester 3</t>
        </is>
      </c>
      <c r="E240" s="2" t="inlineStr">
        <is>
          <t>IRL 640</t>
        </is>
      </c>
      <c r="F240" s="2">
        <f>IFERROR(VLOOKUP(E240,Courses!$A:$C,2,FALSE),"")</f>
        <v/>
      </c>
      <c r="G240" s="2">
        <f>IFERROR(VLOOKUP(E240,Courses!$A:$C,3,FALSE),0)</f>
        <v/>
      </c>
      <c r="H240" s="2" t="inlineStr">
        <is>
          <t>B</t>
        </is>
      </c>
      <c r="I240" s="2" t="n">
        <v>86</v>
      </c>
      <c r="J240" s="2">
        <f>IFERROR(VLOOKUP(H240,'Grade Scale'!$A:$B,2,FALSE),0)</f>
        <v/>
      </c>
      <c r="K240" s="2">
        <f>J240*G240</f>
        <v/>
      </c>
      <c r="L240" s="2">
        <f>IF(H240="F",0,G240)</f>
        <v/>
      </c>
    </row>
    <row r="241">
      <c r="A241" s="2" t="inlineStr">
        <is>
          <t>m250206</t>
        </is>
      </c>
      <c r="B241" s="2">
        <f>IFERROR(VLOOKUP(A241,Students!$A:$B,2,FALSE),"")</f>
        <v/>
      </c>
      <c r="C241" s="2" t="inlineStr">
        <is>
          <t>Spring 2026</t>
        </is>
      </c>
      <c r="D241" s="2" t="inlineStr">
        <is>
          <t>Semester 3</t>
        </is>
      </c>
      <c r="E241" s="2" t="inlineStr">
        <is>
          <t>IRL 690</t>
        </is>
      </c>
      <c r="F241" s="2">
        <f>IFERROR(VLOOKUP(E241,Courses!$A:$C,2,FALSE),"")</f>
        <v/>
      </c>
      <c r="G241" s="2">
        <f>IFERROR(VLOOKUP(E241,Courses!$A:$C,3,FALSE),0)</f>
        <v/>
      </c>
      <c r="H241" s="2" t="inlineStr">
        <is>
          <t>B</t>
        </is>
      </c>
      <c r="I241" s="2" t="n">
        <v>83</v>
      </c>
      <c r="J241" s="2">
        <f>IFERROR(VLOOKUP(H241,'Grade Scale'!$A:$B,2,FALSE),0)</f>
        <v/>
      </c>
      <c r="K241" s="2">
        <f>J241*G241</f>
        <v/>
      </c>
      <c r="L241" s="2">
        <f>IF(H241="F",0,G241)</f>
        <v/>
      </c>
    </row>
    <row r="242">
      <c r="A242" s="2" t="inlineStr">
        <is>
          <t>m250207</t>
        </is>
      </c>
      <c r="B242" s="2">
        <f>IFERROR(VLOOKUP(A242,Students!$A:$B,2,FALSE),"")</f>
        <v/>
      </c>
      <c r="C242" s="2" t="inlineStr">
        <is>
          <t>Spring 2025</t>
        </is>
      </c>
      <c r="D242" s="2" t="inlineStr">
        <is>
          <t>Semester 1</t>
        </is>
      </c>
      <c r="E242" s="2" t="inlineStr">
        <is>
          <t>CIV 101</t>
        </is>
      </c>
      <c r="F242" s="2">
        <f>IFERROR(VLOOKUP(E242,Courses!$A:$C,2,FALSE),"")</f>
        <v/>
      </c>
      <c r="G242" s="2">
        <f>IFERROR(VLOOKUP(E242,Courses!$A:$C,3,FALSE),0)</f>
        <v/>
      </c>
      <c r="H242" s="2" t="inlineStr">
        <is>
          <t>D+</t>
        </is>
      </c>
      <c r="I242" s="2" t="n">
        <v>67</v>
      </c>
      <c r="J242" s="2">
        <f>IFERROR(VLOOKUP(H242,'Grade Scale'!$A:$B,2,FALSE),0)</f>
        <v/>
      </c>
      <c r="K242" s="2">
        <f>J242*G242</f>
        <v/>
      </c>
      <c r="L242" s="2">
        <f>IF(H242="F",0,G242)</f>
        <v/>
      </c>
    </row>
    <row r="243">
      <c r="A243" s="2" t="inlineStr">
        <is>
          <t>m250207</t>
        </is>
      </c>
      <c r="B243" s="2">
        <f>IFERROR(VLOOKUP(A243,Students!$A:$B,2,FALSE),"")</f>
        <v/>
      </c>
      <c r="C243" s="2" t="inlineStr">
        <is>
          <t>Spring 2025</t>
        </is>
      </c>
      <c r="D243" s="2" t="inlineStr">
        <is>
          <t>Semester 1</t>
        </is>
      </c>
      <c r="E243" s="2" t="inlineStr">
        <is>
          <t>MTH 120</t>
        </is>
      </c>
      <c r="F243" s="2">
        <f>IFERROR(VLOOKUP(E243,Courses!$A:$C,2,FALSE),"")</f>
        <v/>
      </c>
      <c r="G243" s="2">
        <f>IFERROR(VLOOKUP(E243,Courses!$A:$C,3,FALSE),0)</f>
        <v/>
      </c>
      <c r="H243" s="2" t="inlineStr">
        <is>
          <t>D+</t>
        </is>
      </c>
      <c r="I243" s="2" t="n">
        <v>67</v>
      </c>
      <c r="J243" s="2">
        <f>IFERROR(VLOOKUP(H243,'Grade Scale'!$A:$B,2,FALSE),0)</f>
        <v/>
      </c>
      <c r="K243" s="2">
        <f>J243*G243</f>
        <v/>
      </c>
      <c r="L243" s="2">
        <f>IF(H243="F",0,G243)</f>
        <v/>
      </c>
    </row>
    <row r="244">
      <c r="A244" s="2" t="inlineStr">
        <is>
          <t>m250207</t>
        </is>
      </c>
      <c r="B244" s="2">
        <f>IFERROR(VLOOKUP(A244,Students!$A:$B,2,FALSE),"")</f>
        <v/>
      </c>
      <c r="C244" s="2" t="inlineStr">
        <is>
          <t>Spring 2025</t>
        </is>
      </c>
      <c r="D244" s="2" t="inlineStr">
        <is>
          <t>Semester 1</t>
        </is>
      </c>
      <c r="E244" s="2" t="inlineStr">
        <is>
          <t>PHY 101</t>
        </is>
      </c>
      <c r="F244" s="2">
        <f>IFERROR(VLOOKUP(E244,Courses!$A:$C,2,FALSE),"")</f>
        <v/>
      </c>
      <c r="G244" s="2">
        <f>IFERROR(VLOOKUP(E244,Courses!$A:$C,3,FALSE),0)</f>
        <v/>
      </c>
      <c r="H244" s="2" t="inlineStr">
        <is>
          <t>C-</t>
        </is>
      </c>
      <c r="I244" s="2" t="n">
        <v>70</v>
      </c>
      <c r="J244" s="2">
        <f>IFERROR(VLOOKUP(H244,'Grade Scale'!$A:$B,2,FALSE),0)</f>
        <v/>
      </c>
      <c r="K244" s="2">
        <f>J244*G244</f>
        <v/>
      </c>
      <c r="L244" s="2">
        <f>IF(H244="F",0,G244)</f>
        <v/>
      </c>
    </row>
    <row r="245">
      <c r="A245" s="2" t="inlineStr">
        <is>
          <t>m250207</t>
        </is>
      </c>
      <c r="B245" s="2">
        <f>IFERROR(VLOOKUP(A245,Students!$A:$B,2,FALSE),"")</f>
        <v/>
      </c>
      <c r="C245" s="2" t="inlineStr">
        <is>
          <t>Spring 2025</t>
        </is>
      </c>
      <c r="D245" s="2" t="inlineStr">
        <is>
          <t>Semester 1</t>
        </is>
      </c>
      <c r="E245" s="2" t="inlineStr">
        <is>
          <t>ENG 101</t>
        </is>
      </c>
      <c r="F245" s="2">
        <f>IFERROR(VLOOKUP(E245,Courses!$A:$C,2,FALSE),"")</f>
        <v/>
      </c>
      <c r="G245" s="2">
        <f>IFERROR(VLOOKUP(E245,Courses!$A:$C,3,FALSE),0)</f>
        <v/>
      </c>
      <c r="H245" s="2" t="inlineStr">
        <is>
          <t>B</t>
        </is>
      </c>
      <c r="I245" s="2" t="n">
        <v>83</v>
      </c>
      <c r="J245" s="2">
        <f>IFERROR(VLOOKUP(H245,'Grade Scale'!$A:$B,2,FALSE),0)</f>
        <v/>
      </c>
      <c r="K245" s="2">
        <f>J245*G245</f>
        <v/>
      </c>
      <c r="L245" s="2">
        <f>IF(H245="F",0,G245)</f>
        <v/>
      </c>
    </row>
    <row r="246">
      <c r="A246" s="2" t="inlineStr">
        <is>
          <t>m250207</t>
        </is>
      </c>
      <c r="B246" s="2">
        <f>IFERROR(VLOOKUP(A246,Students!$A:$B,2,FALSE),"")</f>
        <v/>
      </c>
      <c r="C246" s="2" t="inlineStr">
        <is>
          <t>Spring 2025</t>
        </is>
      </c>
      <c r="D246" s="2" t="inlineStr">
        <is>
          <t>Semester 1</t>
        </is>
      </c>
      <c r="E246" s="2" t="inlineStr">
        <is>
          <t>CHM 101</t>
        </is>
      </c>
      <c r="F246" s="2">
        <f>IFERROR(VLOOKUP(E246,Courses!$A:$C,2,FALSE),"")</f>
        <v/>
      </c>
      <c r="G246" s="2">
        <f>IFERROR(VLOOKUP(E246,Courses!$A:$C,3,FALSE),0)</f>
        <v/>
      </c>
      <c r="H246" s="2" t="inlineStr">
        <is>
          <t>C-</t>
        </is>
      </c>
      <c r="I246" s="2" t="n">
        <v>71</v>
      </c>
      <c r="J246" s="2">
        <f>IFERROR(VLOOKUP(H246,'Grade Scale'!$A:$B,2,FALSE),0)</f>
        <v/>
      </c>
      <c r="K246" s="2">
        <f>J246*G246</f>
        <v/>
      </c>
      <c r="L246" s="2">
        <f>IF(H246="F",0,G246)</f>
        <v/>
      </c>
    </row>
    <row r="247">
      <c r="A247" s="2" t="inlineStr">
        <is>
          <t>m250207</t>
        </is>
      </c>
      <c r="B247" s="2">
        <f>IFERROR(VLOOKUP(A247,Students!$A:$B,2,FALSE),"")</f>
        <v/>
      </c>
      <c r="C247" s="2" t="inlineStr">
        <is>
          <t>Fall 2025</t>
        </is>
      </c>
      <c r="D247" s="2" t="inlineStr">
        <is>
          <t>Semester 2</t>
        </is>
      </c>
      <c r="E247" s="2" t="inlineStr">
        <is>
          <t>CIV 150</t>
        </is>
      </c>
      <c r="F247" s="2">
        <f>IFERROR(VLOOKUP(E247,Courses!$A:$C,2,FALSE),"")</f>
        <v/>
      </c>
      <c r="G247" s="2">
        <f>IFERROR(VLOOKUP(E247,Courses!$A:$C,3,FALSE),0)</f>
        <v/>
      </c>
      <c r="H247" s="2" t="inlineStr">
        <is>
          <t>C+</t>
        </is>
      </c>
      <c r="I247" s="2" t="n">
        <v>77</v>
      </c>
      <c r="J247" s="2">
        <f>IFERROR(VLOOKUP(H247,'Grade Scale'!$A:$B,2,FALSE),0)</f>
        <v/>
      </c>
      <c r="K247" s="2">
        <f>J247*G247</f>
        <v/>
      </c>
      <c r="L247" s="2">
        <f>IF(H247="F",0,G247)</f>
        <v/>
      </c>
    </row>
    <row r="248">
      <c r="A248" s="2" t="inlineStr">
        <is>
          <t>m250207</t>
        </is>
      </c>
      <c r="B248" s="2">
        <f>IFERROR(VLOOKUP(A248,Students!$A:$B,2,FALSE),"")</f>
        <v/>
      </c>
      <c r="C248" s="2" t="inlineStr">
        <is>
          <t>Fall 2025</t>
        </is>
      </c>
      <c r="D248" s="2" t="inlineStr">
        <is>
          <t>Semester 2</t>
        </is>
      </c>
      <c r="E248" s="2" t="inlineStr">
        <is>
          <t>MTH 140</t>
        </is>
      </c>
      <c r="F248" s="2">
        <f>IFERROR(VLOOKUP(E248,Courses!$A:$C,2,FALSE),"")</f>
        <v/>
      </c>
      <c r="G248" s="2">
        <f>IFERROR(VLOOKUP(E248,Courses!$A:$C,3,FALSE),0)</f>
        <v/>
      </c>
      <c r="H248" s="2" t="inlineStr">
        <is>
          <t>C-</t>
        </is>
      </c>
      <c r="I248" s="2" t="n">
        <v>72</v>
      </c>
      <c r="J248" s="2">
        <f>IFERROR(VLOOKUP(H248,'Grade Scale'!$A:$B,2,FALSE),0)</f>
        <v/>
      </c>
      <c r="K248" s="2">
        <f>J248*G248</f>
        <v/>
      </c>
      <c r="L248" s="2">
        <f>IF(H248="F",0,G248)</f>
        <v/>
      </c>
    </row>
    <row r="249">
      <c r="A249" s="2" t="inlineStr">
        <is>
          <t>m250207</t>
        </is>
      </c>
      <c r="B249" s="2">
        <f>IFERROR(VLOOKUP(A249,Students!$A:$B,2,FALSE),"")</f>
        <v/>
      </c>
      <c r="C249" s="2" t="inlineStr">
        <is>
          <t>Fall 2025</t>
        </is>
      </c>
      <c r="D249" s="2" t="inlineStr">
        <is>
          <t>Semester 2</t>
        </is>
      </c>
      <c r="E249" s="2" t="inlineStr">
        <is>
          <t>PHY 102</t>
        </is>
      </c>
      <c r="F249" s="2">
        <f>IFERROR(VLOOKUP(E249,Courses!$A:$C,2,FALSE),"")</f>
        <v/>
      </c>
      <c r="G249" s="2">
        <f>IFERROR(VLOOKUP(E249,Courses!$A:$C,3,FALSE),0)</f>
        <v/>
      </c>
      <c r="H249" s="2" t="inlineStr">
        <is>
          <t>C</t>
        </is>
      </c>
      <c r="I249" s="2" t="n">
        <v>74</v>
      </c>
      <c r="J249" s="2">
        <f>IFERROR(VLOOKUP(H249,'Grade Scale'!$A:$B,2,FALSE),0)</f>
        <v/>
      </c>
      <c r="K249" s="2">
        <f>J249*G249</f>
        <v/>
      </c>
      <c r="L249" s="2">
        <f>IF(H249="F",0,G249)</f>
        <v/>
      </c>
    </row>
    <row r="250">
      <c r="A250" s="2" t="inlineStr">
        <is>
          <t>m250207</t>
        </is>
      </c>
      <c r="B250" s="2">
        <f>IFERROR(VLOOKUP(A250,Students!$A:$B,2,FALSE),"")</f>
        <v/>
      </c>
      <c r="C250" s="2" t="inlineStr">
        <is>
          <t>Fall 2025</t>
        </is>
      </c>
      <c r="D250" s="2" t="inlineStr">
        <is>
          <t>Semester 2</t>
        </is>
      </c>
      <c r="E250" s="2" t="inlineStr">
        <is>
          <t>ENG 102</t>
        </is>
      </c>
      <c r="F250" s="2">
        <f>IFERROR(VLOOKUP(E250,Courses!$A:$C,2,FALSE),"")</f>
        <v/>
      </c>
      <c r="G250" s="2">
        <f>IFERROR(VLOOKUP(E250,Courses!$A:$C,3,FALSE),0)</f>
        <v/>
      </c>
      <c r="H250" s="2" t="inlineStr">
        <is>
          <t>D</t>
        </is>
      </c>
      <c r="I250" s="2" t="n">
        <v>61</v>
      </c>
      <c r="J250" s="2">
        <f>IFERROR(VLOOKUP(H250,'Grade Scale'!$A:$B,2,FALSE),0)</f>
        <v/>
      </c>
      <c r="K250" s="2">
        <f>J250*G250</f>
        <v/>
      </c>
      <c r="L250" s="2">
        <f>IF(H250="F",0,G250)</f>
        <v/>
      </c>
    </row>
    <row r="251">
      <c r="A251" s="2" t="inlineStr">
        <is>
          <t>m250207</t>
        </is>
      </c>
      <c r="B251" s="2">
        <f>IFERROR(VLOOKUP(A251,Students!$A:$B,2,FALSE),"")</f>
        <v/>
      </c>
      <c r="C251" s="2" t="inlineStr">
        <is>
          <t>Fall 2025</t>
        </is>
      </c>
      <c r="D251" s="2" t="inlineStr">
        <is>
          <t>Semester 2</t>
        </is>
      </c>
      <c r="E251" s="2" t="inlineStr">
        <is>
          <t>CIV 160</t>
        </is>
      </c>
      <c r="F251" s="2">
        <f>IFERROR(VLOOKUP(E251,Courses!$A:$C,2,FALSE),"")</f>
        <v/>
      </c>
      <c r="G251" s="2">
        <f>IFERROR(VLOOKUP(E251,Courses!$A:$C,3,FALSE),0)</f>
        <v/>
      </c>
      <c r="H251" s="2" t="inlineStr">
        <is>
          <t>C+</t>
        </is>
      </c>
      <c r="I251" s="2" t="n">
        <v>79</v>
      </c>
      <c r="J251" s="2">
        <f>IFERROR(VLOOKUP(H251,'Grade Scale'!$A:$B,2,FALSE),0)</f>
        <v/>
      </c>
      <c r="K251" s="2">
        <f>J251*G251</f>
        <v/>
      </c>
      <c r="L251" s="2">
        <f>IF(H251="F",0,G251)</f>
        <v/>
      </c>
    </row>
    <row r="252">
      <c r="A252" s="2" t="inlineStr">
        <is>
          <t>m250207</t>
        </is>
      </c>
      <c r="B252" s="2">
        <f>IFERROR(VLOOKUP(A252,Students!$A:$B,2,FALSE),"")</f>
        <v/>
      </c>
      <c r="C252" s="2" t="inlineStr">
        <is>
          <t>Spring 2026</t>
        </is>
      </c>
      <c r="D252" s="2" t="inlineStr">
        <is>
          <t>Semester 3</t>
        </is>
      </c>
      <c r="E252" s="2" t="inlineStr">
        <is>
          <t>CIV 210</t>
        </is>
      </c>
      <c r="F252" s="2">
        <f>IFERROR(VLOOKUP(E252,Courses!$A:$C,2,FALSE),"")</f>
        <v/>
      </c>
      <c r="G252" s="2">
        <f>IFERROR(VLOOKUP(E252,Courses!$A:$C,3,FALSE),0)</f>
        <v/>
      </c>
      <c r="H252" s="2" t="inlineStr">
        <is>
          <t>C</t>
        </is>
      </c>
      <c r="I252" s="2" t="n">
        <v>73</v>
      </c>
      <c r="J252" s="2">
        <f>IFERROR(VLOOKUP(H252,'Grade Scale'!$A:$B,2,FALSE),0)</f>
        <v/>
      </c>
      <c r="K252" s="2">
        <f>J252*G252</f>
        <v/>
      </c>
      <c r="L252" s="2">
        <f>IF(H252="F",0,G252)</f>
        <v/>
      </c>
    </row>
    <row r="253">
      <c r="A253" s="2" t="inlineStr">
        <is>
          <t>m250207</t>
        </is>
      </c>
      <c r="B253" s="2">
        <f>IFERROR(VLOOKUP(A253,Students!$A:$B,2,FALSE),"")</f>
        <v/>
      </c>
      <c r="C253" s="2" t="inlineStr">
        <is>
          <t>Spring 2026</t>
        </is>
      </c>
      <c r="D253" s="2" t="inlineStr">
        <is>
          <t>Semester 3</t>
        </is>
      </c>
      <c r="E253" s="2" t="inlineStr">
        <is>
          <t>CIV 220</t>
        </is>
      </c>
      <c r="F253" s="2">
        <f>IFERROR(VLOOKUP(E253,Courses!$A:$C,2,FALSE),"")</f>
        <v/>
      </c>
      <c r="G253" s="2">
        <f>IFERROR(VLOOKUP(E253,Courses!$A:$C,3,FALSE),0)</f>
        <v/>
      </c>
      <c r="H253" s="2" t="inlineStr">
        <is>
          <t>D</t>
        </is>
      </c>
      <c r="I253" s="2" t="n">
        <v>66</v>
      </c>
      <c r="J253" s="2">
        <f>IFERROR(VLOOKUP(H253,'Grade Scale'!$A:$B,2,FALSE),0)</f>
        <v/>
      </c>
      <c r="K253" s="2">
        <f>J253*G253</f>
        <v/>
      </c>
      <c r="L253" s="2">
        <f>IF(H253="F",0,G253)</f>
        <v/>
      </c>
    </row>
    <row r="254">
      <c r="A254" s="2" t="inlineStr">
        <is>
          <t>m250207</t>
        </is>
      </c>
      <c r="B254" s="2">
        <f>IFERROR(VLOOKUP(A254,Students!$A:$B,2,FALSE),"")</f>
        <v/>
      </c>
      <c r="C254" s="2" t="inlineStr">
        <is>
          <t>Spring 2026</t>
        </is>
      </c>
      <c r="D254" s="2" t="inlineStr">
        <is>
          <t>Semester 3</t>
        </is>
      </c>
      <c r="E254" s="2" t="inlineStr">
        <is>
          <t>CIV 230</t>
        </is>
      </c>
      <c r="F254" s="2">
        <f>IFERROR(VLOOKUP(E254,Courses!$A:$C,2,FALSE),"")</f>
        <v/>
      </c>
      <c r="G254" s="2">
        <f>IFERROR(VLOOKUP(E254,Courses!$A:$C,3,FALSE),0)</f>
        <v/>
      </c>
      <c r="H254" s="2" t="inlineStr">
        <is>
          <t>C</t>
        </is>
      </c>
      <c r="I254" s="2" t="n">
        <v>75</v>
      </c>
      <c r="J254" s="2">
        <f>IFERROR(VLOOKUP(H254,'Grade Scale'!$A:$B,2,FALSE),0)</f>
        <v/>
      </c>
      <c r="K254" s="2">
        <f>J254*G254</f>
        <v/>
      </c>
      <c r="L254" s="2">
        <f>IF(H254="F",0,G254)</f>
        <v/>
      </c>
    </row>
    <row r="255">
      <c r="A255" s="2" t="inlineStr">
        <is>
          <t>m250207</t>
        </is>
      </c>
      <c r="B255" s="2">
        <f>IFERROR(VLOOKUP(A255,Students!$A:$B,2,FALSE),"")</f>
        <v/>
      </c>
      <c r="C255" s="2" t="inlineStr">
        <is>
          <t>Spring 2026</t>
        </is>
      </c>
      <c r="D255" s="2" t="inlineStr">
        <is>
          <t>Semester 3</t>
        </is>
      </c>
      <c r="E255" s="2" t="inlineStr">
        <is>
          <t>MTH 210</t>
        </is>
      </c>
      <c r="F255" s="2">
        <f>IFERROR(VLOOKUP(E255,Courses!$A:$C,2,FALSE),"")</f>
        <v/>
      </c>
      <c r="G255" s="2">
        <f>IFERROR(VLOOKUP(E255,Courses!$A:$C,3,FALSE),0)</f>
        <v/>
      </c>
      <c r="H255" s="2" t="inlineStr">
        <is>
          <t>C-</t>
        </is>
      </c>
      <c r="I255" s="2" t="n">
        <v>72</v>
      </c>
      <c r="J255" s="2">
        <f>IFERROR(VLOOKUP(H255,'Grade Scale'!$A:$B,2,FALSE),0)</f>
        <v/>
      </c>
      <c r="K255" s="2">
        <f>J255*G255</f>
        <v/>
      </c>
      <c r="L255" s="2">
        <f>IF(H255="F",0,G255)</f>
        <v/>
      </c>
    </row>
    <row r="256">
      <c r="A256" s="2" t="inlineStr">
        <is>
          <t>m250207</t>
        </is>
      </c>
      <c r="B256" s="2">
        <f>IFERROR(VLOOKUP(A256,Students!$A:$B,2,FALSE),"")</f>
        <v/>
      </c>
      <c r="C256" s="2" t="inlineStr">
        <is>
          <t>Spring 2026</t>
        </is>
      </c>
      <c r="D256" s="2" t="inlineStr">
        <is>
          <t>Semester 3</t>
        </is>
      </c>
      <c r="E256" s="2" t="inlineStr">
        <is>
          <t>CIV 240</t>
        </is>
      </c>
      <c r="F256" s="2">
        <f>IFERROR(VLOOKUP(E256,Courses!$A:$C,2,FALSE),"")</f>
        <v/>
      </c>
      <c r="G256" s="2">
        <f>IFERROR(VLOOKUP(E256,Courses!$A:$C,3,FALSE),0)</f>
        <v/>
      </c>
      <c r="H256" s="2" t="inlineStr">
        <is>
          <t>C</t>
        </is>
      </c>
      <c r="I256" s="2" t="n">
        <v>75</v>
      </c>
      <c r="J256" s="2">
        <f>IFERROR(VLOOKUP(H256,'Grade Scale'!$A:$B,2,FALSE),0)</f>
        <v/>
      </c>
      <c r="K256" s="2">
        <f>J256*G256</f>
        <v/>
      </c>
      <c r="L256" s="2">
        <f>IF(H256="F",0,G256)</f>
        <v/>
      </c>
    </row>
    <row r="257">
      <c r="A257" s="2" t="inlineStr">
        <is>
          <t>m250208</t>
        </is>
      </c>
      <c r="B257" s="2">
        <f>IFERROR(VLOOKUP(A257,Students!$A:$B,2,FALSE),"")</f>
        <v/>
      </c>
      <c r="C257" s="2" t="inlineStr">
        <is>
          <t>Spring 2025</t>
        </is>
      </c>
      <c r="D257" s="2" t="inlineStr">
        <is>
          <t>Semester 1</t>
        </is>
      </c>
      <c r="E257" s="2" t="inlineStr">
        <is>
          <t>ART 101</t>
        </is>
      </c>
      <c r="F257" s="2">
        <f>IFERROR(VLOOKUP(E257,Courses!$A:$C,2,FALSE),"")</f>
        <v/>
      </c>
      <c r="G257" s="2">
        <f>IFERROR(VLOOKUP(E257,Courses!$A:$C,3,FALSE),0)</f>
        <v/>
      </c>
      <c r="H257" s="2" t="inlineStr">
        <is>
          <t>A</t>
        </is>
      </c>
      <c r="I257" s="2" t="n">
        <v>95</v>
      </c>
      <c r="J257" s="2">
        <f>IFERROR(VLOOKUP(H257,'Grade Scale'!$A:$B,2,FALSE),0)</f>
        <v/>
      </c>
      <c r="K257" s="2">
        <f>J257*G257</f>
        <v/>
      </c>
      <c r="L257" s="2">
        <f>IF(H257="F",0,G257)</f>
        <v/>
      </c>
    </row>
    <row r="258">
      <c r="A258" s="2" t="inlineStr">
        <is>
          <t>m250208</t>
        </is>
      </c>
      <c r="B258" s="2">
        <f>IFERROR(VLOOKUP(A258,Students!$A:$B,2,FALSE),"")</f>
        <v/>
      </c>
      <c r="C258" s="2" t="inlineStr">
        <is>
          <t>Spring 2025</t>
        </is>
      </c>
      <c r="D258" s="2" t="inlineStr">
        <is>
          <t>Semester 1</t>
        </is>
      </c>
      <c r="E258" s="2" t="inlineStr">
        <is>
          <t>DES 101</t>
        </is>
      </c>
      <c r="F258" s="2">
        <f>IFERROR(VLOOKUP(E258,Courses!$A:$C,2,FALSE),"")</f>
        <v/>
      </c>
      <c r="G258" s="2">
        <f>IFERROR(VLOOKUP(E258,Courses!$A:$C,3,FALSE),0)</f>
        <v/>
      </c>
      <c r="H258" s="2" t="inlineStr">
        <is>
          <t>A-</t>
        </is>
      </c>
      <c r="I258" s="2" t="n">
        <v>92</v>
      </c>
      <c r="J258" s="2">
        <f>IFERROR(VLOOKUP(H258,'Grade Scale'!$A:$B,2,FALSE),0)</f>
        <v/>
      </c>
      <c r="K258" s="2">
        <f>J258*G258</f>
        <v/>
      </c>
      <c r="L258" s="2">
        <f>IF(H258="F",0,G258)</f>
        <v/>
      </c>
    </row>
    <row r="259">
      <c r="A259" s="2" t="inlineStr">
        <is>
          <t>m250208</t>
        </is>
      </c>
      <c r="B259" s="2">
        <f>IFERROR(VLOOKUP(A259,Students!$A:$B,2,FALSE),"")</f>
        <v/>
      </c>
      <c r="C259" s="2" t="inlineStr">
        <is>
          <t>Spring 2025</t>
        </is>
      </c>
      <c r="D259" s="2" t="inlineStr">
        <is>
          <t>Semester 1</t>
        </is>
      </c>
      <c r="E259" s="2" t="inlineStr">
        <is>
          <t>ART 110</t>
        </is>
      </c>
      <c r="F259" s="2">
        <f>IFERROR(VLOOKUP(E259,Courses!$A:$C,2,FALSE),"")</f>
        <v/>
      </c>
      <c r="G259" s="2">
        <f>IFERROR(VLOOKUP(E259,Courses!$A:$C,3,FALSE),0)</f>
        <v/>
      </c>
      <c r="H259" s="2" t="inlineStr">
        <is>
          <t>B+</t>
        </is>
      </c>
      <c r="I259" s="2" t="n">
        <v>88</v>
      </c>
      <c r="J259" s="2">
        <f>IFERROR(VLOOKUP(H259,'Grade Scale'!$A:$B,2,FALSE),0)</f>
        <v/>
      </c>
      <c r="K259" s="2">
        <f>J259*G259</f>
        <v/>
      </c>
      <c r="L259" s="2">
        <f>IF(H259="F",0,G259)</f>
        <v/>
      </c>
    </row>
    <row r="260">
      <c r="A260" s="2" t="inlineStr">
        <is>
          <t>m250208</t>
        </is>
      </c>
      <c r="B260" s="2">
        <f>IFERROR(VLOOKUP(A260,Students!$A:$B,2,FALSE),"")</f>
        <v/>
      </c>
      <c r="C260" s="2" t="inlineStr">
        <is>
          <t>Spring 2025</t>
        </is>
      </c>
      <c r="D260" s="2" t="inlineStr">
        <is>
          <t>Semester 1</t>
        </is>
      </c>
      <c r="E260" s="2" t="inlineStr">
        <is>
          <t>ENG 101</t>
        </is>
      </c>
      <c r="F260" s="2">
        <f>IFERROR(VLOOKUP(E260,Courses!$A:$C,2,FALSE),"")</f>
        <v/>
      </c>
      <c r="G260" s="2">
        <f>IFERROR(VLOOKUP(E260,Courses!$A:$C,3,FALSE),0)</f>
        <v/>
      </c>
      <c r="H260" s="2" t="inlineStr">
        <is>
          <t>A</t>
        </is>
      </c>
      <c r="I260" s="2" t="n">
        <v>100</v>
      </c>
      <c r="J260" s="2">
        <f>IFERROR(VLOOKUP(H260,'Grade Scale'!$A:$B,2,FALSE),0)</f>
        <v/>
      </c>
      <c r="K260" s="2">
        <f>J260*G260</f>
        <v/>
      </c>
      <c r="L260" s="2">
        <f>IF(H260="F",0,G260)</f>
        <v/>
      </c>
    </row>
    <row r="261">
      <c r="A261" s="2" t="inlineStr">
        <is>
          <t>m250208</t>
        </is>
      </c>
      <c r="B261" s="2">
        <f>IFERROR(VLOOKUP(A261,Students!$A:$B,2,FALSE),"")</f>
        <v/>
      </c>
      <c r="C261" s="2" t="inlineStr">
        <is>
          <t>Spring 2025</t>
        </is>
      </c>
      <c r="D261" s="2" t="inlineStr">
        <is>
          <t>Semester 1</t>
        </is>
      </c>
      <c r="E261" s="2" t="inlineStr">
        <is>
          <t>HIS 101</t>
        </is>
      </c>
      <c r="F261" s="2">
        <f>IFERROR(VLOOKUP(E261,Courses!$A:$C,2,FALSE),"")</f>
        <v/>
      </c>
      <c r="G261" s="2">
        <f>IFERROR(VLOOKUP(E261,Courses!$A:$C,3,FALSE),0)</f>
        <v/>
      </c>
      <c r="H261" s="2" t="inlineStr">
        <is>
          <t>A</t>
        </is>
      </c>
      <c r="I261" s="2" t="n">
        <v>93</v>
      </c>
      <c r="J261" s="2">
        <f>IFERROR(VLOOKUP(H261,'Grade Scale'!$A:$B,2,FALSE),0)</f>
        <v/>
      </c>
      <c r="K261" s="2">
        <f>J261*G261</f>
        <v/>
      </c>
      <c r="L261" s="2">
        <f>IF(H261="F",0,G261)</f>
        <v/>
      </c>
    </row>
    <row r="262">
      <c r="A262" s="2" t="inlineStr">
        <is>
          <t>m250208</t>
        </is>
      </c>
      <c r="B262" s="2">
        <f>IFERROR(VLOOKUP(A262,Students!$A:$B,2,FALSE),"")</f>
        <v/>
      </c>
      <c r="C262" s="2" t="inlineStr">
        <is>
          <t>Fall 2025</t>
        </is>
      </c>
      <c r="D262" s="2" t="inlineStr">
        <is>
          <t>Semester 2</t>
        </is>
      </c>
      <c r="E262" s="2" t="inlineStr">
        <is>
          <t>DES 150</t>
        </is>
      </c>
      <c r="F262" s="2">
        <f>IFERROR(VLOOKUP(E262,Courses!$A:$C,2,FALSE),"")</f>
        <v/>
      </c>
      <c r="G262" s="2">
        <f>IFERROR(VLOOKUP(E262,Courses!$A:$C,3,FALSE),0)</f>
        <v/>
      </c>
      <c r="H262" s="2" t="inlineStr">
        <is>
          <t>A</t>
        </is>
      </c>
      <c r="I262" s="2" t="n">
        <v>97</v>
      </c>
      <c r="J262" s="2">
        <f>IFERROR(VLOOKUP(H262,'Grade Scale'!$A:$B,2,FALSE),0)</f>
        <v/>
      </c>
      <c r="K262" s="2">
        <f>J262*G262</f>
        <v/>
      </c>
      <c r="L262" s="2">
        <f>IF(H262="F",0,G262)</f>
        <v/>
      </c>
    </row>
    <row r="263">
      <c r="A263" s="2" t="inlineStr">
        <is>
          <t>m250208</t>
        </is>
      </c>
      <c r="B263" s="2">
        <f>IFERROR(VLOOKUP(A263,Students!$A:$B,2,FALSE),"")</f>
        <v/>
      </c>
      <c r="C263" s="2" t="inlineStr">
        <is>
          <t>Fall 2025</t>
        </is>
      </c>
      <c r="D263" s="2" t="inlineStr">
        <is>
          <t>Semester 2</t>
        </is>
      </c>
      <c r="E263" s="2" t="inlineStr">
        <is>
          <t>DES 160</t>
        </is>
      </c>
      <c r="F263" s="2">
        <f>IFERROR(VLOOKUP(E263,Courses!$A:$C,2,FALSE),"")</f>
        <v/>
      </c>
      <c r="G263" s="2">
        <f>IFERROR(VLOOKUP(E263,Courses!$A:$C,3,FALSE),0)</f>
        <v/>
      </c>
      <c r="H263" s="2" t="inlineStr">
        <is>
          <t>B+</t>
        </is>
      </c>
      <c r="I263" s="2" t="n">
        <v>87</v>
      </c>
      <c r="J263" s="2">
        <f>IFERROR(VLOOKUP(H263,'Grade Scale'!$A:$B,2,FALSE),0)</f>
        <v/>
      </c>
      <c r="K263" s="2">
        <f>J263*G263</f>
        <v/>
      </c>
      <c r="L263" s="2">
        <f>IF(H263="F",0,G263)</f>
        <v/>
      </c>
    </row>
    <row r="264">
      <c r="A264" s="2" t="inlineStr">
        <is>
          <t>m250208</t>
        </is>
      </c>
      <c r="B264" s="2">
        <f>IFERROR(VLOOKUP(A264,Students!$A:$B,2,FALSE),"")</f>
        <v/>
      </c>
      <c r="C264" s="2" t="inlineStr">
        <is>
          <t>Fall 2025</t>
        </is>
      </c>
      <c r="D264" s="2" t="inlineStr">
        <is>
          <t>Semester 2</t>
        </is>
      </c>
      <c r="E264" s="2" t="inlineStr">
        <is>
          <t>DES 170</t>
        </is>
      </c>
      <c r="F264" s="2">
        <f>IFERROR(VLOOKUP(E264,Courses!$A:$C,2,FALSE),"")</f>
        <v/>
      </c>
      <c r="G264" s="2">
        <f>IFERROR(VLOOKUP(E264,Courses!$A:$C,3,FALSE),0)</f>
        <v/>
      </c>
      <c r="H264" s="2" t="inlineStr">
        <is>
          <t>A-</t>
        </is>
      </c>
      <c r="I264" s="2" t="n">
        <v>90</v>
      </c>
      <c r="J264" s="2">
        <f>IFERROR(VLOOKUP(H264,'Grade Scale'!$A:$B,2,FALSE),0)</f>
        <v/>
      </c>
      <c r="K264" s="2">
        <f>J264*G264</f>
        <v/>
      </c>
      <c r="L264" s="2">
        <f>IF(H264="F",0,G264)</f>
        <v/>
      </c>
    </row>
    <row r="265">
      <c r="A265" s="2" t="inlineStr">
        <is>
          <t>m250208</t>
        </is>
      </c>
      <c r="B265" s="2">
        <f>IFERROR(VLOOKUP(A265,Students!$A:$B,2,FALSE),"")</f>
        <v/>
      </c>
      <c r="C265" s="2" t="inlineStr">
        <is>
          <t>Fall 2025</t>
        </is>
      </c>
      <c r="D265" s="2" t="inlineStr">
        <is>
          <t>Semester 2</t>
        </is>
      </c>
      <c r="E265" s="2" t="inlineStr">
        <is>
          <t>ENG 102</t>
        </is>
      </c>
      <c r="F265" s="2">
        <f>IFERROR(VLOOKUP(E265,Courses!$A:$C,2,FALSE),"")</f>
        <v/>
      </c>
      <c r="G265" s="2">
        <f>IFERROR(VLOOKUP(E265,Courses!$A:$C,3,FALSE),0)</f>
        <v/>
      </c>
      <c r="H265" s="2" t="inlineStr">
        <is>
          <t>B+</t>
        </is>
      </c>
      <c r="I265" s="2" t="n">
        <v>88</v>
      </c>
      <c r="J265" s="2">
        <f>IFERROR(VLOOKUP(H265,'Grade Scale'!$A:$B,2,FALSE),0)</f>
        <v/>
      </c>
      <c r="K265" s="2">
        <f>J265*G265</f>
        <v/>
      </c>
      <c r="L265" s="2">
        <f>IF(H265="F",0,G265)</f>
        <v/>
      </c>
    </row>
    <row r="266">
      <c r="A266" s="2" t="inlineStr">
        <is>
          <t>m250208</t>
        </is>
      </c>
      <c r="B266" s="2">
        <f>IFERROR(VLOOKUP(A266,Students!$A:$B,2,FALSE),"")</f>
        <v/>
      </c>
      <c r="C266" s="2" t="inlineStr">
        <is>
          <t>Fall 2025</t>
        </is>
      </c>
      <c r="D266" s="2" t="inlineStr">
        <is>
          <t>Semester 2</t>
        </is>
      </c>
      <c r="E266" s="2" t="inlineStr">
        <is>
          <t>ART 150</t>
        </is>
      </c>
      <c r="F266" s="2">
        <f>IFERROR(VLOOKUP(E266,Courses!$A:$C,2,FALSE),"")</f>
        <v/>
      </c>
      <c r="G266" s="2">
        <f>IFERROR(VLOOKUP(E266,Courses!$A:$C,3,FALSE),0)</f>
        <v/>
      </c>
      <c r="H266" s="2" t="inlineStr">
        <is>
          <t>A</t>
        </is>
      </c>
      <c r="I266" s="2" t="n">
        <v>100</v>
      </c>
      <c r="J266" s="2">
        <f>IFERROR(VLOOKUP(H266,'Grade Scale'!$A:$B,2,FALSE),0)</f>
        <v/>
      </c>
      <c r="K266" s="2">
        <f>J266*G266</f>
        <v/>
      </c>
      <c r="L266" s="2">
        <f>IF(H266="F",0,G266)</f>
        <v/>
      </c>
    </row>
    <row r="267">
      <c r="A267" s="2" t="inlineStr">
        <is>
          <t>m250208</t>
        </is>
      </c>
      <c r="B267" s="2">
        <f>IFERROR(VLOOKUP(A267,Students!$A:$B,2,FALSE),"")</f>
        <v/>
      </c>
      <c r="C267" s="2" t="inlineStr">
        <is>
          <t>Spring 2026</t>
        </is>
      </c>
      <c r="D267" s="2" t="inlineStr">
        <is>
          <t>Semester 3</t>
        </is>
      </c>
      <c r="E267" s="2" t="inlineStr">
        <is>
          <t>DES 210</t>
        </is>
      </c>
      <c r="F267" s="2">
        <f>IFERROR(VLOOKUP(E267,Courses!$A:$C,2,FALSE),"")</f>
        <v/>
      </c>
      <c r="G267" s="2">
        <f>IFERROR(VLOOKUP(E267,Courses!$A:$C,3,FALSE),0)</f>
        <v/>
      </c>
      <c r="H267" s="2" t="inlineStr">
        <is>
          <t>A</t>
        </is>
      </c>
      <c r="I267" s="2" t="n">
        <v>93</v>
      </c>
      <c r="J267" s="2">
        <f>IFERROR(VLOOKUP(H267,'Grade Scale'!$A:$B,2,FALSE),0)</f>
        <v/>
      </c>
      <c r="K267" s="2">
        <f>J267*G267</f>
        <v/>
      </c>
      <c r="L267" s="2">
        <f>IF(H267="F",0,G267)</f>
        <v/>
      </c>
    </row>
    <row r="268">
      <c r="A268" s="2" t="inlineStr">
        <is>
          <t>m250208</t>
        </is>
      </c>
      <c r="B268" s="2">
        <f>IFERROR(VLOOKUP(A268,Students!$A:$B,2,FALSE),"")</f>
        <v/>
      </c>
      <c r="C268" s="2" t="inlineStr">
        <is>
          <t>Spring 2026</t>
        </is>
      </c>
      <c r="D268" s="2" t="inlineStr">
        <is>
          <t>Semester 3</t>
        </is>
      </c>
      <c r="E268" s="2" t="inlineStr">
        <is>
          <t>DES 220</t>
        </is>
      </c>
      <c r="F268" s="2">
        <f>IFERROR(VLOOKUP(E268,Courses!$A:$C,2,FALSE),"")</f>
        <v/>
      </c>
      <c r="G268" s="2">
        <f>IFERROR(VLOOKUP(E268,Courses!$A:$C,3,FALSE),0)</f>
        <v/>
      </c>
      <c r="H268" s="2" t="inlineStr">
        <is>
          <t>A</t>
        </is>
      </c>
      <c r="I268" s="2" t="n">
        <v>96</v>
      </c>
      <c r="J268" s="2">
        <f>IFERROR(VLOOKUP(H268,'Grade Scale'!$A:$B,2,FALSE),0)</f>
        <v/>
      </c>
      <c r="K268" s="2">
        <f>J268*G268</f>
        <v/>
      </c>
      <c r="L268" s="2">
        <f>IF(H268="F",0,G268)</f>
        <v/>
      </c>
    </row>
    <row r="269">
      <c r="A269" s="2" t="inlineStr">
        <is>
          <t>m250208</t>
        </is>
      </c>
      <c r="B269" s="2">
        <f>IFERROR(VLOOKUP(A269,Students!$A:$B,2,FALSE),"")</f>
        <v/>
      </c>
      <c r="C269" s="2" t="inlineStr">
        <is>
          <t>Spring 2026</t>
        </is>
      </c>
      <c r="D269" s="2" t="inlineStr">
        <is>
          <t>Semester 3</t>
        </is>
      </c>
      <c r="E269" s="2" t="inlineStr">
        <is>
          <t>DES 230</t>
        </is>
      </c>
      <c r="F269" s="2">
        <f>IFERROR(VLOOKUP(E269,Courses!$A:$C,2,FALSE),"")</f>
        <v/>
      </c>
      <c r="G269" s="2">
        <f>IFERROR(VLOOKUP(E269,Courses!$A:$C,3,FALSE),0)</f>
        <v/>
      </c>
      <c r="H269" s="2" t="inlineStr">
        <is>
          <t>A</t>
        </is>
      </c>
      <c r="I269" s="2" t="n">
        <v>100</v>
      </c>
      <c r="J269" s="2">
        <f>IFERROR(VLOOKUP(H269,'Grade Scale'!$A:$B,2,FALSE),0)</f>
        <v/>
      </c>
      <c r="K269" s="2">
        <f>J269*G269</f>
        <v/>
      </c>
      <c r="L269" s="2">
        <f>IF(H269="F",0,G269)</f>
        <v/>
      </c>
    </row>
    <row r="270">
      <c r="A270" s="2" t="inlineStr">
        <is>
          <t>m250208</t>
        </is>
      </c>
      <c r="B270" s="2">
        <f>IFERROR(VLOOKUP(A270,Students!$A:$B,2,FALSE),"")</f>
        <v/>
      </c>
      <c r="C270" s="2" t="inlineStr">
        <is>
          <t>Spring 2026</t>
        </is>
      </c>
      <c r="D270" s="2" t="inlineStr">
        <is>
          <t>Semester 3</t>
        </is>
      </c>
      <c r="E270" s="2" t="inlineStr">
        <is>
          <t>DES 240</t>
        </is>
      </c>
      <c r="F270" s="2">
        <f>IFERROR(VLOOKUP(E270,Courses!$A:$C,2,FALSE),"")</f>
        <v/>
      </c>
      <c r="G270" s="2">
        <f>IFERROR(VLOOKUP(E270,Courses!$A:$C,3,FALSE),0)</f>
        <v/>
      </c>
      <c r="H270" s="2" t="inlineStr">
        <is>
          <t>A</t>
        </is>
      </c>
      <c r="I270" s="2" t="n">
        <v>100</v>
      </c>
      <c r="J270" s="2">
        <f>IFERROR(VLOOKUP(H270,'Grade Scale'!$A:$B,2,FALSE),0)</f>
        <v/>
      </c>
      <c r="K270" s="2">
        <f>J270*G270</f>
        <v/>
      </c>
      <c r="L270" s="2">
        <f>IF(H270="F",0,G270)</f>
        <v/>
      </c>
    </row>
    <row r="271">
      <c r="A271" s="2" t="inlineStr">
        <is>
          <t>m250208</t>
        </is>
      </c>
      <c r="B271" s="2">
        <f>IFERROR(VLOOKUP(A271,Students!$A:$B,2,FALSE),"")</f>
        <v/>
      </c>
      <c r="C271" s="2" t="inlineStr">
        <is>
          <t>Spring 2026</t>
        </is>
      </c>
      <c r="D271" s="2" t="inlineStr">
        <is>
          <t>Semester 3</t>
        </is>
      </c>
      <c r="E271" s="2" t="inlineStr">
        <is>
          <t>DES 250</t>
        </is>
      </c>
      <c r="F271" s="2">
        <f>IFERROR(VLOOKUP(E271,Courses!$A:$C,2,FALSE),"")</f>
        <v/>
      </c>
      <c r="G271" s="2">
        <f>IFERROR(VLOOKUP(E271,Courses!$A:$C,3,FALSE),0)</f>
        <v/>
      </c>
      <c r="H271" s="2" t="inlineStr">
        <is>
          <t>A</t>
        </is>
      </c>
      <c r="I271" s="2" t="n">
        <v>93</v>
      </c>
      <c r="J271" s="2">
        <f>IFERROR(VLOOKUP(H271,'Grade Scale'!$A:$B,2,FALSE),0)</f>
        <v/>
      </c>
      <c r="K271" s="2">
        <f>J271*G271</f>
        <v/>
      </c>
      <c r="L271" s="2">
        <f>IF(H271="F",0,G271)</f>
        <v/>
      </c>
    </row>
    <row r="272">
      <c r="A272" s="2" t="inlineStr">
        <is>
          <t>m250209</t>
        </is>
      </c>
      <c r="B272" s="2">
        <f>IFERROR(VLOOKUP(A272,Students!$A:$B,2,FALSE),"")</f>
        <v/>
      </c>
      <c r="C272" s="2" t="inlineStr">
        <is>
          <t>Spring 2025</t>
        </is>
      </c>
      <c r="D272" s="2" t="inlineStr">
        <is>
          <t>Semester 1</t>
        </is>
      </c>
      <c r="E272" s="2" t="inlineStr">
        <is>
          <t>ECO 101</t>
        </is>
      </c>
      <c r="F272" s="2">
        <f>IFERROR(VLOOKUP(E272,Courses!$A:$C,2,FALSE),"")</f>
        <v/>
      </c>
      <c r="G272" s="2">
        <f>IFERROR(VLOOKUP(E272,Courses!$A:$C,3,FALSE),0)</f>
        <v/>
      </c>
      <c r="H272" s="2" t="inlineStr">
        <is>
          <t>C</t>
        </is>
      </c>
      <c r="I272" s="2" t="n">
        <v>75</v>
      </c>
      <c r="J272" s="2">
        <f>IFERROR(VLOOKUP(H272,'Grade Scale'!$A:$B,2,FALSE),0)</f>
        <v/>
      </c>
      <c r="K272" s="2">
        <f>J272*G272</f>
        <v/>
      </c>
      <c r="L272" s="2">
        <f>IF(H272="F",0,G272)</f>
        <v/>
      </c>
    </row>
    <row r="273">
      <c r="A273" s="2" t="inlineStr">
        <is>
          <t>m250209</t>
        </is>
      </c>
      <c r="B273" s="2">
        <f>IFERROR(VLOOKUP(A273,Students!$A:$B,2,FALSE),"")</f>
        <v/>
      </c>
      <c r="C273" s="2" t="inlineStr">
        <is>
          <t>Spring 2025</t>
        </is>
      </c>
      <c r="D273" s="2" t="inlineStr">
        <is>
          <t>Semester 1</t>
        </is>
      </c>
      <c r="E273" s="2" t="inlineStr">
        <is>
          <t>ACC 101</t>
        </is>
      </c>
      <c r="F273" s="2">
        <f>IFERROR(VLOOKUP(E273,Courses!$A:$C,2,FALSE),"")</f>
        <v/>
      </c>
      <c r="G273" s="2">
        <f>IFERROR(VLOOKUP(E273,Courses!$A:$C,3,FALSE),0)</f>
        <v/>
      </c>
      <c r="H273" s="2" t="inlineStr">
        <is>
          <t>D+</t>
        </is>
      </c>
      <c r="I273" s="2" t="n">
        <v>69</v>
      </c>
      <c r="J273" s="2">
        <f>IFERROR(VLOOKUP(H273,'Grade Scale'!$A:$B,2,FALSE),0)</f>
        <v/>
      </c>
      <c r="K273" s="2">
        <f>J273*G273</f>
        <v/>
      </c>
      <c r="L273" s="2">
        <f>IF(H273="F",0,G273)</f>
        <v/>
      </c>
    </row>
    <row r="274">
      <c r="A274" s="2" t="inlineStr">
        <is>
          <t>m250209</t>
        </is>
      </c>
      <c r="B274" s="2">
        <f>IFERROR(VLOOKUP(A274,Students!$A:$B,2,FALSE),"")</f>
        <v/>
      </c>
      <c r="C274" s="2" t="inlineStr">
        <is>
          <t>Spring 2025</t>
        </is>
      </c>
      <c r="D274" s="2" t="inlineStr">
        <is>
          <t>Semester 1</t>
        </is>
      </c>
      <c r="E274" s="2" t="inlineStr">
        <is>
          <t>MTH 105</t>
        </is>
      </c>
      <c r="F274" s="2">
        <f>IFERROR(VLOOKUP(E274,Courses!$A:$C,2,FALSE),"")</f>
        <v/>
      </c>
      <c r="G274" s="2">
        <f>IFERROR(VLOOKUP(E274,Courses!$A:$C,3,FALSE),0)</f>
        <v/>
      </c>
      <c r="H274" s="2" t="inlineStr">
        <is>
          <t>C</t>
        </is>
      </c>
      <c r="I274" s="2" t="n">
        <v>74</v>
      </c>
      <c r="J274" s="2">
        <f>IFERROR(VLOOKUP(H274,'Grade Scale'!$A:$B,2,FALSE),0)</f>
        <v/>
      </c>
      <c r="K274" s="2">
        <f>J274*G274</f>
        <v/>
      </c>
      <c r="L274" s="2">
        <f>IF(H274="F",0,G274)</f>
        <v/>
      </c>
    </row>
    <row r="275">
      <c r="A275" s="2" t="inlineStr">
        <is>
          <t>m250209</t>
        </is>
      </c>
      <c r="B275" s="2">
        <f>IFERROR(VLOOKUP(A275,Students!$A:$B,2,FALSE),"")</f>
        <v/>
      </c>
      <c r="C275" s="2" t="inlineStr">
        <is>
          <t>Spring 2025</t>
        </is>
      </c>
      <c r="D275" s="2" t="inlineStr">
        <is>
          <t>Semester 1</t>
        </is>
      </c>
      <c r="E275" s="2" t="inlineStr">
        <is>
          <t>ENG 101</t>
        </is>
      </c>
      <c r="F275" s="2">
        <f>IFERROR(VLOOKUP(E275,Courses!$A:$C,2,FALSE),"")</f>
        <v/>
      </c>
      <c r="G275" s="2">
        <f>IFERROR(VLOOKUP(E275,Courses!$A:$C,3,FALSE),0)</f>
        <v/>
      </c>
      <c r="H275" s="2" t="inlineStr">
        <is>
          <t>D+</t>
        </is>
      </c>
      <c r="I275" s="2" t="n">
        <v>68</v>
      </c>
      <c r="J275" s="2">
        <f>IFERROR(VLOOKUP(H275,'Grade Scale'!$A:$B,2,FALSE),0)</f>
        <v/>
      </c>
      <c r="K275" s="2">
        <f>J275*G275</f>
        <v/>
      </c>
      <c r="L275" s="2">
        <f>IF(H275="F",0,G275)</f>
        <v/>
      </c>
    </row>
    <row r="276">
      <c r="A276" s="2" t="inlineStr">
        <is>
          <t>m250209</t>
        </is>
      </c>
      <c r="B276" s="2">
        <f>IFERROR(VLOOKUP(A276,Students!$A:$B,2,FALSE),"")</f>
        <v/>
      </c>
      <c r="C276" s="2" t="inlineStr">
        <is>
          <t>Spring 2025</t>
        </is>
      </c>
      <c r="D276" s="2" t="inlineStr">
        <is>
          <t>Semester 1</t>
        </is>
      </c>
      <c r="E276" s="2" t="inlineStr">
        <is>
          <t>FIN 100</t>
        </is>
      </c>
      <c r="F276" s="2">
        <f>IFERROR(VLOOKUP(E276,Courses!$A:$C,2,FALSE),"")</f>
        <v/>
      </c>
      <c r="G276" s="2">
        <f>IFERROR(VLOOKUP(E276,Courses!$A:$C,3,FALSE),0)</f>
        <v/>
      </c>
      <c r="H276" s="2" t="inlineStr">
        <is>
          <t>D+</t>
        </is>
      </c>
      <c r="I276" s="2" t="n">
        <v>69</v>
      </c>
      <c r="J276" s="2">
        <f>IFERROR(VLOOKUP(H276,'Grade Scale'!$A:$B,2,FALSE),0)</f>
        <v/>
      </c>
      <c r="K276" s="2">
        <f>J276*G276</f>
        <v/>
      </c>
      <c r="L276" s="2">
        <f>IF(H276="F",0,G276)</f>
        <v/>
      </c>
    </row>
    <row r="277">
      <c r="A277" s="2" t="inlineStr">
        <is>
          <t>m250209</t>
        </is>
      </c>
      <c r="B277" s="2">
        <f>IFERROR(VLOOKUP(A277,Students!$A:$B,2,FALSE),"")</f>
        <v/>
      </c>
      <c r="C277" s="2" t="inlineStr">
        <is>
          <t>Fall 2025</t>
        </is>
      </c>
      <c r="D277" s="2" t="inlineStr">
        <is>
          <t>Semester 2</t>
        </is>
      </c>
      <c r="E277" s="2" t="inlineStr">
        <is>
          <t>ECO 102</t>
        </is>
      </c>
      <c r="F277" s="2">
        <f>IFERROR(VLOOKUP(E277,Courses!$A:$C,2,FALSE),"")</f>
        <v/>
      </c>
      <c r="G277" s="2">
        <f>IFERROR(VLOOKUP(E277,Courses!$A:$C,3,FALSE),0)</f>
        <v/>
      </c>
      <c r="H277" s="2" t="inlineStr">
        <is>
          <t>B+</t>
        </is>
      </c>
      <c r="I277" s="2" t="n">
        <v>89</v>
      </c>
      <c r="J277" s="2">
        <f>IFERROR(VLOOKUP(H277,'Grade Scale'!$A:$B,2,FALSE),0)</f>
        <v/>
      </c>
      <c r="K277" s="2">
        <f>J277*G277</f>
        <v/>
      </c>
      <c r="L277" s="2">
        <f>IF(H277="F",0,G277)</f>
        <v/>
      </c>
    </row>
    <row r="278">
      <c r="A278" s="2" t="inlineStr">
        <is>
          <t>m250209</t>
        </is>
      </c>
      <c r="B278" s="2">
        <f>IFERROR(VLOOKUP(A278,Students!$A:$B,2,FALSE),"")</f>
        <v/>
      </c>
      <c r="C278" s="2" t="inlineStr">
        <is>
          <t>Fall 2025</t>
        </is>
      </c>
      <c r="D278" s="2" t="inlineStr">
        <is>
          <t>Semester 2</t>
        </is>
      </c>
      <c r="E278" s="2" t="inlineStr">
        <is>
          <t>ACC 102</t>
        </is>
      </c>
      <c r="F278" s="2">
        <f>IFERROR(VLOOKUP(E278,Courses!$A:$C,2,FALSE),"")</f>
        <v/>
      </c>
      <c r="G278" s="2">
        <f>IFERROR(VLOOKUP(E278,Courses!$A:$C,3,FALSE),0)</f>
        <v/>
      </c>
      <c r="H278" s="2" t="inlineStr">
        <is>
          <t>C</t>
        </is>
      </c>
      <c r="I278" s="2" t="n">
        <v>74</v>
      </c>
      <c r="J278" s="2">
        <f>IFERROR(VLOOKUP(H278,'Grade Scale'!$A:$B,2,FALSE),0)</f>
        <v/>
      </c>
      <c r="K278" s="2">
        <f>J278*G278</f>
        <v/>
      </c>
      <c r="L278" s="2">
        <f>IF(H278="F",0,G278)</f>
        <v/>
      </c>
    </row>
    <row r="279">
      <c r="A279" s="2" t="inlineStr">
        <is>
          <t>m250209</t>
        </is>
      </c>
      <c r="B279" s="2">
        <f>IFERROR(VLOOKUP(A279,Students!$A:$B,2,FALSE),"")</f>
        <v/>
      </c>
      <c r="C279" s="2" t="inlineStr">
        <is>
          <t>Fall 2025</t>
        </is>
      </c>
      <c r="D279" s="2" t="inlineStr">
        <is>
          <t>Semester 2</t>
        </is>
      </c>
      <c r="E279" s="2" t="inlineStr">
        <is>
          <t>STA 110</t>
        </is>
      </c>
      <c r="F279" s="2">
        <f>IFERROR(VLOOKUP(E279,Courses!$A:$C,2,FALSE),"")</f>
        <v/>
      </c>
      <c r="G279" s="2">
        <f>IFERROR(VLOOKUP(E279,Courses!$A:$C,3,FALSE),0)</f>
        <v/>
      </c>
      <c r="H279" s="2" t="inlineStr">
        <is>
          <t>B+</t>
        </is>
      </c>
      <c r="I279" s="2" t="n">
        <v>88</v>
      </c>
      <c r="J279" s="2">
        <f>IFERROR(VLOOKUP(H279,'Grade Scale'!$A:$B,2,FALSE),0)</f>
        <v/>
      </c>
      <c r="K279" s="2">
        <f>J279*G279</f>
        <v/>
      </c>
      <c r="L279" s="2">
        <f>IF(H279="F",0,G279)</f>
        <v/>
      </c>
    </row>
    <row r="280">
      <c r="A280" s="2" t="inlineStr">
        <is>
          <t>m250209</t>
        </is>
      </c>
      <c r="B280" s="2">
        <f>IFERROR(VLOOKUP(A280,Students!$A:$B,2,FALSE),"")</f>
        <v/>
      </c>
      <c r="C280" s="2" t="inlineStr">
        <is>
          <t>Fall 2025</t>
        </is>
      </c>
      <c r="D280" s="2" t="inlineStr">
        <is>
          <t>Semester 2</t>
        </is>
      </c>
      <c r="E280" s="2" t="inlineStr">
        <is>
          <t>ENG 102</t>
        </is>
      </c>
      <c r="F280" s="2">
        <f>IFERROR(VLOOKUP(E280,Courses!$A:$C,2,FALSE),"")</f>
        <v/>
      </c>
      <c r="G280" s="2">
        <f>IFERROR(VLOOKUP(E280,Courses!$A:$C,3,FALSE),0)</f>
        <v/>
      </c>
      <c r="H280" s="2" t="inlineStr">
        <is>
          <t>C+</t>
        </is>
      </c>
      <c r="I280" s="2" t="n">
        <v>79</v>
      </c>
      <c r="J280" s="2">
        <f>IFERROR(VLOOKUP(H280,'Grade Scale'!$A:$B,2,FALSE),0)</f>
        <v/>
      </c>
      <c r="K280" s="2">
        <f>J280*G280</f>
        <v/>
      </c>
      <c r="L280" s="2">
        <f>IF(H280="F",0,G280)</f>
        <v/>
      </c>
    </row>
    <row r="281">
      <c r="A281" s="2" t="inlineStr">
        <is>
          <t>m250209</t>
        </is>
      </c>
      <c r="B281" s="2">
        <f>IFERROR(VLOOKUP(A281,Students!$A:$B,2,FALSE),"")</f>
        <v/>
      </c>
      <c r="C281" s="2" t="inlineStr">
        <is>
          <t>Fall 2025</t>
        </is>
      </c>
      <c r="D281" s="2" t="inlineStr">
        <is>
          <t>Semester 2</t>
        </is>
      </c>
      <c r="E281" s="2" t="inlineStr">
        <is>
          <t>FIN 150</t>
        </is>
      </c>
      <c r="F281" s="2">
        <f>IFERROR(VLOOKUP(E281,Courses!$A:$C,2,FALSE),"")</f>
        <v/>
      </c>
      <c r="G281" s="2">
        <f>IFERROR(VLOOKUP(E281,Courses!$A:$C,3,FALSE),0)</f>
        <v/>
      </c>
      <c r="H281" s="2" t="inlineStr">
        <is>
          <t>B-</t>
        </is>
      </c>
      <c r="I281" s="2" t="n">
        <v>81</v>
      </c>
      <c r="J281" s="2">
        <f>IFERROR(VLOOKUP(H281,'Grade Scale'!$A:$B,2,FALSE),0)</f>
        <v/>
      </c>
      <c r="K281" s="2">
        <f>J281*G281</f>
        <v/>
      </c>
      <c r="L281" s="2">
        <f>IF(H281="F",0,G281)</f>
        <v/>
      </c>
    </row>
    <row r="282">
      <c r="A282" s="2" t="inlineStr">
        <is>
          <t>m250209</t>
        </is>
      </c>
      <c r="B282" s="2">
        <f>IFERROR(VLOOKUP(A282,Students!$A:$B,2,FALSE),"")</f>
        <v/>
      </c>
      <c r="C282" s="2" t="inlineStr">
        <is>
          <t>Spring 2026</t>
        </is>
      </c>
      <c r="D282" s="2" t="inlineStr">
        <is>
          <t>Semester 3</t>
        </is>
      </c>
      <c r="E282" s="2" t="inlineStr">
        <is>
          <t>FIN 210</t>
        </is>
      </c>
      <c r="F282" s="2">
        <f>IFERROR(VLOOKUP(E282,Courses!$A:$C,2,FALSE),"")</f>
        <v/>
      </c>
      <c r="G282" s="2">
        <f>IFERROR(VLOOKUP(E282,Courses!$A:$C,3,FALSE),0)</f>
        <v/>
      </c>
      <c r="H282" s="2" t="inlineStr">
        <is>
          <t>C+</t>
        </is>
      </c>
      <c r="I282" s="2" t="n">
        <v>78</v>
      </c>
      <c r="J282" s="2">
        <f>IFERROR(VLOOKUP(H282,'Grade Scale'!$A:$B,2,FALSE),0)</f>
        <v/>
      </c>
      <c r="K282" s="2">
        <f>J282*G282</f>
        <v/>
      </c>
      <c r="L282" s="2">
        <f>IF(H282="F",0,G282)</f>
        <v/>
      </c>
    </row>
    <row r="283">
      <c r="A283" s="2" t="inlineStr">
        <is>
          <t>m250209</t>
        </is>
      </c>
      <c r="B283" s="2">
        <f>IFERROR(VLOOKUP(A283,Students!$A:$B,2,FALSE),"")</f>
        <v/>
      </c>
      <c r="C283" s="2" t="inlineStr">
        <is>
          <t>Spring 2026</t>
        </is>
      </c>
      <c r="D283" s="2" t="inlineStr">
        <is>
          <t>Semester 3</t>
        </is>
      </c>
      <c r="E283" s="2" t="inlineStr">
        <is>
          <t>FIN 220</t>
        </is>
      </c>
      <c r="F283" s="2">
        <f>IFERROR(VLOOKUP(E283,Courses!$A:$C,2,FALSE),"")</f>
        <v/>
      </c>
      <c r="G283" s="2">
        <f>IFERROR(VLOOKUP(E283,Courses!$A:$C,3,FALSE),0)</f>
        <v/>
      </c>
      <c r="H283" s="2" t="inlineStr">
        <is>
          <t>C</t>
        </is>
      </c>
      <c r="I283" s="2" t="n">
        <v>75</v>
      </c>
      <c r="J283" s="2">
        <f>IFERROR(VLOOKUP(H283,'Grade Scale'!$A:$B,2,FALSE),0)</f>
        <v/>
      </c>
      <c r="K283" s="2">
        <f>J283*G283</f>
        <v/>
      </c>
      <c r="L283" s="2">
        <f>IF(H283="F",0,G283)</f>
        <v/>
      </c>
    </row>
    <row r="284">
      <c r="A284" s="2" t="inlineStr">
        <is>
          <t>m250209</t>
        </is>
      </c>
      <c r="B284" s="2">
        <f>IFERROR(VLOOKUP(A284,Students!$A:$B,2,FALSE),"")</f>
        <v/>
      </c>
      <c r="C284" s="2" t="inlineStr">
        <is>
          <t>Spring 2026</t>
        </is>
      </c>
      <c r="D284" s="2" t="inlineStr">
        <is>
          <t>Semester 3</t>
        </is>
      </c>
      <c r="E284" s="2" t="inlineStr">
        <is>
          <t>FIN 230</t>
        </is>
      </c>
      <c r="F284" s="2">
        <f>IFERROR(VLOOKUP(E284,Courses!$A:$C,2,FALSE),"")</f>
        <v/>
      </c>
      <c r="G284" s="2">
        <f>IFERROR(VLOOKUP(E284,Courses!$A:$C,3,FALSE),0)</f>
        <v/>
      </c>
      <c r="H284" s="2" t="inlineStr">
        <is>
          <t>A-</t>
        </is>
      </c>
      <c r="I284" s="2" t="n">
        <v>90</v>
      </c>
      <c r="J284" s="2">
        <f>IFERROR(VLOOKUP(H284,'Grade Scale'!$A:$B,2,FALSE),0)</f>
        <v/>
      </c>
      <c r="K284" s="2">
        <f>J284*G284</f>
        <v/>
      </c>
      <c r="L284" s="2">
        <f>IF(H284="F",0,G284)</f>
        <v/>
      </c>
    </row>
    <row r="285">
      <c r="A285" s="2" t="inlineStr">
        <is>
          <t>m250209</t>
        </is>
      </c>
      <c r="B285" s="2">
        <f>IFERROR(VLOOKUP(A285,Students!$A:$B,2,FALSE),"")</f>
        <v/>
      </c>
      <c r="C285" s="2" t="inlineStr">
        <is>
          <t>Spring 2026</t>
        </is>
      </c>
      <c r="D285" s="2" t="inlineStr">
        <is>
          <t>Semester 3</t>
        </is>
      </c>
      <c r="E285" s="2" t="inlineStr">
        <is>
          <t>ECO 210</t>
        </is>
      </c>
      <c r="F285" s="2">
        <f>IFERROR(VLOOKUP(E285,Courses!$A:$C,2,FALSE),"")</f>
        <v/>
      </c>
      <c r="G285" s="2">
        <f>IFERROR(VLOOKUP(E285,Courses!$A:$C,3,FALSE),0)</f>
        <v/>
      </c>
      <c r="H285" s="2" t="inlineStr">
        <is>
          <t>C+</t>
        </is>
      </c>
      <c r="I285" s="2" t="n">
        <v>77</v>
      </c>
      <c r="J285" s="2">
        <f>IFERROR(VLOOKUP(H285,'Grade Scale'!$A:$B,2,FALSE),0)</f>
        <v/>
      </c>
      <c r="K285" s="2">
        <f>J285*G285</f>
        <v/>
      </c>
      <c r="L285" s="2">
        <f>IF(H285="F",0,G285)</f>
        <v/>
      </c>
    </row>
    <row r="286">
      <c r="A286" s="2" t="inlineStr">
        <is>
          <t>m250209</t>
        </is>
      </c>
      <c r="B286" s="2">
        <f>IFERROR(VLOOKUP(A286,Students!$A:$B,2,FALSE),"")</f>
        <v/>
      </c>
      <c r="C286" s="2" t="inlineStr">
        <is>
          <t>Spring 2026</t>
        </is>
      </c>
      <c r="D286" s="2" t="inlineStr">
        <is>
          <t>Semester 3</t>
        </is>
      </c>
      <c r="E286" s="2" t="inlineStr">
        <is>
          <t>LAW 201</t>
        </is>
      </c>
      <c r="F286" s="2">
        <f>IFERROR(VLOOKUP(E286,Courses!$A:$C,2,FALSE),"")</f>
        <v/>
      </c>
      <c r="G286" s="2">
        <f>IFERROR(VLOOKUP(E286,Courses!$A:$C,3,FALSE),0)</f>
        <v/>
      </c>
      <c r="H286" s="2" t="inlineStr">
        <is>
          <t>B+</t>
        </is>
      </c>
      <c r="I286" s="2" t="n">
        <v>87</v>
      </c>
      <c r="J286" s="2">
        <f>IFERROR(VLOOKUP(H286,'Grade Scale'!$A:$B,2,FALSE),0)</f>
        <v/>
      </c>
      <c r="K286" s="2">
        <f>J286*G286</f>
        <v/>
      </c>
      <c r="L286" s="2">
        <f>IF(H286="F",0,G286)</f>
        <v/>
      </c>
    </row>
    <row r="287">
      <c r="A287" s="2" t="inlineStr">
        <is>
          <t>m250210</t>
        </is>
      </c>
      <c r="B287" s="2">
        <f>IFERROR(VLOOKUP(A287,Students!$A:$B,2,FALSE),"")</f>
        <v/>
      </c>
      <c r="C287" s="2" t="inlineStr">
        <is>
          <t>Spring 2025</t>
        </is>
      </c>
      <c r="D287" s="2" t="inlineStr">
        <is>
          <t>Semester 1</t>
        </is>
      </c>
      <c r="E287" s="2" t="inlineStr">
        <is>
          <t>IRL 501</t>
        </is>
      </c>
      <c r="F287" s="2">
        <f>IFERROR(VLOOKUP(E287,Courses!$A:$C,2,FALSE),"")</f>
        <v/>
      </c>
      <c r="G287" s="2">
        <f>IFERROR(VLOOKUP(E287,Courses!$A:$C,3,FALSE),0)</f>
        <v/>
      </c>
      <c r="H287" s="2" t="inlineStr">
        <is>
          <t>A</t>
        </is>
      </c>
      <c r="I287" s="2" t="n">
        <v>97</v>
      </c>
      <c r="J287" s="2">
        <f>IFERROR(VLOOKUP(H287,'Grade Scale'!$A:$B,2,FALSE),0)</f>
        <v/>
      </c>
      <c r="K287" s="2">
        <f>J287*G287</f>
        <v/>
      </c>
      <c r="L287" s="2">
        <f>IF(H287="F",0,G287)</f>
        <v/>
      </c>
    </row>
    <row r="288">
      <c r="A288" s="2" t="inlineStr">
        <is>
          <t>m250210</t>
        </is>
      </c>
      <c r="B288" s="2">
        <f>IFERROR(VLOOKUP(A288,Students!$A:$B,2,FALSE),"")</f>
        <v/>
      </c>
      <c r="C288" s="2" t="inlineStr">
        <is>
          <t>Spring 2025</t>
        </is>
      </c>
      <c r="D288" s="2" t="inlineStr">
        <is>
          <t>Semester 1</t>
        </is>
      </c>
      <c r="E288" s="2" t="inlineStr">
        <is>
          <t>IRL 510</t>
        </is>
      </c>
      <c r="F288" s="2">
        <f>IFERROR(VLOOKUP(E288,Courses!$A:$C,2,FALSE),"")</f>
        <v/>
      </c>
      <c r="G288" s="2">
        <f>IFERROR(VLOOKUP(E288,Courses!$A:$C,3,FALSE),0)</f>
        <v/>
      </c>
      <c r="H288" s="2" t="inlineStr">
        <is>
          <t>B</t>
        </is>
      </c>
      <c r="I288" s="2" t="n">
        <v>85</v>
      </c>
      <c r="J288" s="2">
        <f>IFERROR(VLOOKUP(H288,'Grade Scale'!$A:$B,2,FALSE),0)</f>
        <v/>
      </c>
      <c r="K288" s="2">
        <f>J288*G288</f>
        <v/>
      </c>
      <c r="L288" s="2">
        <f>IF(H288="F",0,G288)</f>
        <v/>
      </c>
    </row>
    <row r="289">
      <c r="A289" s="2" t="inlineStr">
        <is>
          <t>m250210</t>
        </is>
      </c>
      <c r="B289" s="2">
        <f>IFERROR(VLOOKUP(A289,Students!$A:$B,2,FALSE),"")</f>
        <v/>
      </c>
      <c r="C289" s="2" t="inlineStr">
        <is>
          <t>Spring 2025</t>
        </is>
      </c>
      <c r="D289" s="2" t="inlineStr">
        <is>
          <t>Semester 1</t>
        </is>
      </c>
      <c r="E289" s="2" t="inlineStr">
        <is>
          <t>IRL 520</t>
        </is>
      </c>
      <c r="F289" s="2">
        <f>IFERROR(VLOOKUP(E289,Courses!$A:$C,2,FALSE),"")</f>
        <v/>
      </c>
      <c r="G289" s="2">
        <f>IFERROR(VLOOKUP(E289,Courses!$A:$C,3,FALSE),0)</f>
        <v/>
      </c>
      <c r="H289" s="2" t="inlineStr">
        <is>
          <t>A</t>
        </is>
      </c>
      <c r="I289" s="2" t="n">
        <v>100</v>
      </c>
      <c r="J289" s="2">
        <f>IFERROR(VLOOKUP(H289,'Grade Scale'!$A:$B,2,FALSE),0)</f>
        <v/>
      </c>
      <c r="K289" s="2">
        <f>J289*G289</f>
        <v/>
      </c>
      <c r="L289" s="2">
        <f>IF(H289="F",0,G289)</f>
        <v/>
      </c>
    </row>
    <row r="290">
      <c r="A290" s="2" t="inlineStr">
        <is>
          <t>m250210</t>
        </is>
      </c>
      <c r="B290" s="2">
        <f>IFERROR(VLOOKUP(A290,Students!$A:$B,2,FALSE),"")</f>
        <v/>
      </c>
      <c r="C290" s="2" t="inlineStr">
        <is>
          <t>Spring 2025</t>
        </is>
      </c>
      <c r="D290" s="2" t="inlineStr">
        <is>
          <t>Semester 1</t>
        </is>
      </c>
      <c r="E290" s="2" t="inlineStr">
        <is>
          <t>IRL 530</t>
        </is>
      </c>
      <c r="F290" s="2">
        <f>IFERROR(VLOOKUP(E290,Courses!$A:$C,2,FALSE),"")</f>
        <v/>
      </c>
      <c r="G290" s="2">
        <f>IFERROR(VLOOKUP(E290,Courses!$A:$C,3,FALSE),0)</f>
        <v/>
      </c>
      <c r="H290" s="2" t="inlineStr">
        <is>
          <t>B</t>
        </is>
      </c>
      <c r="I290" s="2" t="n">
        <v>85</v>
      </c>
      <c r="J290" s="2">
        <f>IFERROR(VLOOKUP(H290,'Grade Scale'!$A:$B,2,FALSE),0)</f>
        <v/>
      </c>
      <c r="K290" s="2">
        <f>J290*G290</f>
        <v/>
      </c>
      <c r="L290" s="2">
        <f>IF(H290="F",0,G290)</f>
        <v/>
      </c>
    </row>
    <row r="291">
      <c r="A291" s="2" t="inlineStr">
        <is>
          <t>m250210</t>
        </is>
      </c>
      <c r="B291" s="2">
        <f>IFERROR(VLOOKUP(A291,Students!$A:$B,2,FALSE),"")</f>
        <v/>
      </c>
      <c r="C291" s="2" t="inlineStr">
        <is>
          <t>Spring 2025</t>
        </is>
      </c>
      <c r="D291" s="2" t="inlineStr">
        <is>
          <t>Semester 1</t>
        </is>
      </c>
      <c r="E291" s="2" t="inlineStr">
        <is>
          <t>IRL 540</t>
        </is>
      </c>
      <c r="F291" s="2">
        <f>IFERROR(VLOOKUP(E291,Courses!$A:$C,2,FALSE),"")</f>
        <v/>
      </c>
      <c r="G291" s="2">
        <f>IFERROR(VLOOKUP(E291,Courses!$A:$C,3,FALSE),0)</f>
        <v/>
      </c>
      <c r="H291" s="2" t="inlineStr">
        <is>
          <t>B+</t>
        </is>
      </c>
      <c r="I291" s="2" t="n">
        <v>89</v>
      </c>
      <c r="J291" s="2">
        <f>IFERROR(VLOOKUP(H291,'Grade Scale'!$A:$B,2,FALSE),0)</f>
        <v/>
      </c>
      <c r="K291" s="2">
        <f>J291*G291</f>
        <v/>
      </c>
      <c r="L291" s="2">
        <f>IF(H291="F",0,G291)</f>
        <v/>
      </c>
    </row>
    <row r="292">
      <c r="A292" s="2" t="inlineStr">
        <is>
          <t>m250210</t>
        </is>
      </c>
      <c r="B292" s="2">
        <f>IFERROR(VLOOKUP(A292,Students!$A:$B,2,FALSE),"")</f>
        <v/>
      </c>
      <c r="C292" s="2" t="inlineStr">
        <is>
          <t>Fall 2025</t>
        </is>
      </c>
      <c r="D292" s="2" t="inlineStr">
        <is>
          <t>Semester 2</t>
        </is>
      </c>
      <c r="E292" s="2" t="inlineStr">
        <is>
          <t>IRL 550</t>
        </is>
      </c>
      <c r="F292" s="2">
        <f>IFERROR(VLOOKUP(E292,Courses!$A:$C,2,FALSE),"")</f>
        <v/>
      </c>
      <c r="G292" s="2">
        <f>IFERROR(VLOOKUP(E292,Courses!$A:$C,3,FALSE),0)</f>
        <v/>
      </c>
      <c r="H292" s="2" t="inlineStr">
        <is>
          <t>B-</t>
        </is>
      </c>
      <c r="I292" s="2" t="n">
        <v>81</v>
      </c>
      <c r="J292" s="2">
        <f>IFERROR(VLOOKUP(H292,'Grade Scale'!$A:$B,2,FALSE),0)</f>
        <v/>
      </c>
      <c r="K292" s="2">
        <f>J292*G292</f>
        <v/>
      </c>
      <c r="L292" s="2">
        <f>IF(H292="F",0,G292)</f>
        <v/>
      </c>
    </row>
    <row r="293">
      <c r="A293" s="2" t="inlineStr">
        <is>
          <t>m250210</t>
        </is>
      </c>
      <c r="B293" s="2">
        <f>IFERROR(VLOOKUP(A293,Students!$A:$B,2,FALSE),"")</f>
        <v/>
      </c>
      <c r="C293" s="2" t="inlineStr">
        <is>
          <t>Fall 2025</t>
        </is>
      </c>
      <c r="D293" s="2" t="inlineStr">
        <is>
          <t>Semester 2</t>
        </is>
      </c>
      <c r="E293" s="2" t="inlineStr">
        <is>
          <t>IRL 560</t>
        </is>
      </c>
      <c r="F293" s="2">
        <f>IFERROR(VLOOKUP(E293,Courses!$A:$C,2,FALSE),"")</f>
        <v/>
      </c>
      <c r="G293" s="2">
        <f>IFERROR(VLOOKUP(E293,Courses!$A:$C,3,FALSE),0)</f>
        <v/>
      </c>
      <c r="H293" s="2" t="inlineStr">
        <is>
          <t>B</t>
        </is>
      </c>
      <c r="I293" s="2" t="n">
        <v>86</v>
      </c>
      <c r="J293" s="2">
        <f>IFERROR(VLOOKUP(H293,'Grade Scale'!$A:$B,2,FALSE),0)</f>
        <v/>
      </c>
      <c r="K293" s="2">
        <f>J293*G293</f>
        <v/>
      </c>
      <c r="L293" s="2">
        <f>IF(H293="F",0,G293)</f>
        <v/>
      </c>
    </row>
    <row r="294">
      <c r="A294" s="2" t="inlineStr">
        <is>
          <t>m250210</t>
        </is>
      </c>
      <c r="B294" s="2">
        <f>IFERROR(VLOOKUP(A294,Students!$A:$B,2,FALSE),"")</f>
        <v/>
      </c>
      <c r="C294" s="2" t="inlineStr">
        <is>
          <t>Fall 2025</t>
        </is>
      </c>
      <c r="D294" s="2" t="inlineStr">
        <is>
          <t>Semester 2</t>
        </is>
      </c>
      <c r="E294" s="2" t="inlineStr">
        <is>
          <t>IRL 570</t>
        </is>
      </c>
      <c r="F294" s="2">
        <f>IFERROR(VLOOKUP(E294,Courses!$A:$C,2,FALSE),"")</f>
        <v/>
      </c>
      <c r="G294" s="2">
        <f>IFERROR(VLOOKUP(E294,Courses!$A:$C,3,FALSE),0)</f>
        <v/>
      </c>
      <c r="H294" s="2" t="inlineStr">
        <is>
          <t>A</t>
        </is>
      </c>
      <c r="I294" s="2" t="n">
        <v>96</v>
      </c>
      <c r="J294" s="2">
        <f>IFERROR(VLOOKUP(H294,'Grade Scale'!$A:$B,2,FALSE),0)</f>
        <v/>
      </c>
      <c r="K294" s="2">
        <f>J294*G294</f>
        <v/>
      </c>
      <c r="L294" s="2">
        <f>IF(H294="F",0,G294)</f>
        <v/>
      </c>
    </row>
    <row r="295">
      <c r="A295" s="2" t="inlineStr">
        <is>
          <t>m250210</t>
        </is>
      </c>
      <c r="B295" s="2">
        <f>IFERROR(VLOOKUP(A295,Students!$A:$B,2,FALSE),"")</f>
        <v/>
      </c>
      <c r="C295" s="2" t="inlineStr">
        <is>
          <t>Fall 2025</t>
        </is>
      </c>
      <c r="D295" s="2" t="inlineStr">
        <is>
          <t>Semester 2</t>
        </is>
      </c>
      <c r="E295" s="2" t="inlineStr">
        <is>
          <t>IRL 580</t>
        </is>
      </c>
      <c r="F295" s="2">
        <f>IFERROR(VLOOKUP(E295,Courses!$A:$C,2,FALSE),"")</f>
        <v/>
      </c>
      <c r="G295" s="2">
        <f>IFERROR(VLOOKUP(E295,Courses!$A:$C,3,FALSE),0)</f>
        <v/>
      </c>
      <c r="H295" s="2" t="inlineStr">
        <is>
          <t>A</t>
        </is>
      </c>
      <c r="I295" s="2" t="n">
        <v>95</v>
      </c>
      <c r="J295" s="2">
        <f>IFERROR(VLOOKUP(H295,'Grade Scale'!$A:$B,2,FALSE),0)</f>
        <v/>
      </c>
      <c r="K295" s="2">
        <f>J295*G295</f>
        <v/>
      </c>
      <c r="L295" s="2">
        <f>IF(H295="F",0,G295)</f>
        <v/>
      </c>
    </row>
    <row r="296">
      <c r="A296" s="2" t="inlineStr">
        <is>
          <t>m250210</t>
        </is>
      </c>
      <c r="B296" s="2">
        <f>IFERROR(VLOOKUP(A296,Students!$A:$B,2,FALSE),"")</f>
        <v/>
      </c>
      <c r="C296" s="2" t="inlineStr">
        <is>
          <t>Fall 2025</t>
        </is>
      </c>
      <c r="D296" s="2" t="inlineStr">
        <is>
          <t>Semester 2</t>
        </is>
      </c>
      <c r="E296" s="2" t="inlineStr">
        <is>
          <t>IRL 590</t>
        </is>
      </c>
      <c r="F296" s="2">
        <f>IFERROR(VLOOKUP(E296,Courses!$A:$C,2,FALSE),"")</f>
        <v/>
      </c>
      <c r="G296" s="2">
        <f>IFERROR(VLOOKUP(E296,Courses!$A:$C,3,FALSE),0)</f>
        <v/>
      </c>
      <c r="H296" s="2" t="inlineStr">
        <is>
          <t>A-</t>
        </is>
      </c>
      <c r="I296" s="2" t="n">
        <v>92</v>
      </c>
      <c r="J296" s="2">
        <f>IFERROR(VLOOKUP(H296,'Grade Scale'!$A:$B,2,FALSE),0)</f>
        <v/>
      </c>
      <c r="K296" s="2">
        <f>J296*G296</f>
        <v/>
      </c>
      <c r="L296" s="2">
        <f>IF(H296="F",0,G296)</f>
        <v/>
      </c>
    </row>
    <row r="297">
      <c r="A297" s="2" t="inlineStr">
        <is>
          <t>m250210</t>
        </is>
      </c>
      <c r="B297" s="2">
        <f>IFERROR(VLOOKUP(A297,Students!$A:$B,2,FALSE),"")</f>
        <v/>
      </c>
      <c r="C297" s="2" t="inlineStr">
        <is>
          <t>Spring 2026</t>
        </is>
      </c>
      <c r="D297" s="2" t="inlineStr">
        <is>
          <t>Semester 3</t>
        </is>
      </c>
      <c r="E297" s="2" t="inlineStr">
        <is>
          <t>IRL 610</t>
        </is>
      </c>
      <c r="F297" s="2">
        <f>IFERROR(VLOOKUP(E297,Courses!$A:$C,2,FALSE),"")</f>
        <v/>
      </c>
      <c r="G297" s="2">
        <f>IFERROR(VLOOKUP(E297,Courses!$A:$C,3,FALSE),0)</f>
        <v/>
      </c>
      <c r="H297" s="2" t="inlineStr">
        <is>
          <t>A-</t>
        </is>
      </c>
      <c r="I297" s="2" t="n">
        <v>92</v>
      </c>
      <c r="J297" s="2">
        <f>IFERROR(VLOOKUP(H297,'Grade Scale'!$A:$B,2,FALSE),0)</f>
        <v/>
      </c>
      <c r="K297" s="2">
        <f>J297*G297</f>
        <v/>
      </c>
      <c r="L297" s="2">
        <f>IF(H297="F",0,G297)</f>
        <v/>
      </c>
    </row>
    <row r="298">
      <c r="A298" s="2" t="inlineStr">
        <is>
          <t>m250210</t>
        </is>
      </c>
      <c r="B298" s="2">
        <f>IFERROR(VLOOKUP(A298,Students!$A:$B,2,FALSE),"")</f>
        <v/>
      </c>
      <c r="C298" s="2" t="inlineStr">
        <is>
          <t>Spring 2026</t>
        </is>
      </c>
      <c r="D298" s="2" t="inlineStr">
        <is>
          <t>Semester 3</t>
        </is>
      </c>
      <c r="E298" s="2" t="inlineStr">
        <is>
          <t>IRL 620</t>
        </is>
      </c>
      <c r="F298" s="2">
        <f>IFERROR(VLOOKUP(E298,Courses!$A:$C,2,FALSE),"")</f>
        <v/>
      </c>
      <c r="G298" s="2">
        <f>IFERROR(VLOOKUP(E298,Courses!$A:$C,3,FALSE),0)</f>
        <v/>
      </c>
      <c r="H298" s="2" t="inlineStr">
        <is>
          <t>B</t>
        </is>
      </c>
      <c r="I298" s="2" t="n">
        <v>85</v>
      </c>
      <c r="J298" s="2">
        <f>IFERROR(VLOOKUP(H298,'Grade Scale'!$A:$B,2,FALSE),0)</f>
        <v/>
      </c>
      <c r="K298" s="2">
        <f>J298*G298</f>
        <v/>
      </c>
      <c r="L298" s="2">
        <f>IF(H298="F",0,G298)</f>
        <v/>
      </c>
    </row>
    <row r="299">
      <c r="A299" s="2" t="inlineStr">
        <is>
          <t>m250210</t>
        </is>
      </c>
      <c r="B299" s="2">
        <f>IFERROR(VLOOKUP(A299,Students!$A:$B,2,FALSE),"")</f>
        <v/>
      </c>
      <c r="C299" s="2" t="inlineStr">
        <is>
          <t>Spring 2026</t>
        </is>
      </c>
      <c r="D299" s="2" t="inlineStr">
        <is>
          <t>Semester 3</t>
        </is>
      </c>
      <c r="E299" s="2" t="inlineStr">
        <is>
          <t>IRL 630</t>
        </is>
      </c>
      <c r="F299" s="2">
        <f>IFERROR(VLOOKUP(E299,Courses!$A:$C,2,FALSE),"")</f>
        <v/>
      </c>
      <c r="G299" s="2">
        <f>IFERROR(VLOOKUP(E299,Courses!$A:$C,3,FALSE),0)</f>
        <v/>
      </c>
      <c r="H299" s="2" t="inlineStr">
        <is>
          <t>A</t>
        </is>
      </c>
      <c r="I299" s="2" t="n">
        <v>97</v>
      </c>
      <c r="J299" s="2">
        <f>IFERROR(VLOOKUP(H299,'Grade Scale'!$A:$B,2,FALSE),0)</f>
        <v/>
      </c>
      <c r="K299" s="2">
        <f>J299*G299</f>
        <v/>
      </c>
      <c r="L299" s="2">
        <f>IF(H299="F",0,G299)</f>
        <v/>
      </c>
    </row>
    <row r="300">
      <c r="A300" s="2" t="inlineStr">
        <is>
          <t>m250210</t>
        </is>
      </c>
      <c r="B300" s="2">
        <f>IFERROR(VLOOKUP(A300,Students!$A:$B,2,FALSE),"")</f>
        <v/>
      </c>
      <c r="C300" s="2" t="inlineStr">
        <is>
          <t>Spring 2026</t>
        </is>
      </c>
      <c r="D300" s="2" t="inlineStr">
        <is>
          <t>Semester 3</t>
        </is>
      </c>
      <c r="E300" s="2" t="inlineStr">
        <is>
          <t>IRL 640</t>
        </is>
      </c>
      <c r="F300" s="2">
        <f>IFERROR(VLOOKUP(E300,Courses!$A:$C,2,FALSE),"")</f>
        <v/>
      </c>
      <c r="G300" s="2">
        <f>IFERROR(VLOOKUP(E300,Courses!$A:$C,3,FALSE),0)</f>
        <v/>
      </c>
      <c r="H300" s="2" t="inlineStr">
        <is>
          <t>B+</t>
        </is>
      </c>
      <c r="I300" s="2" t="n">
        <v>89</v>
      </c>
      <c r="J300" s="2">
        <f>IFERROR(VLOOKUP(H300,'Grade Scale'!$A:$B,2,FALSE),0)</f>
        <v/>
      </c>
      <c r="K300" s="2">
        <f>J300*G300</f>
        <v/>
      </c>
      <c r="L300" s="2">
        <f>IF(H300="F",0,G300)</f>
        <v/>
      </c>
    </row>
    <row r="301">
      <c r="A301" s="2" t="inlineStr">
        <is>
          <t>m250210</t>
        </is>
      </c>
      <c r="B301" s="2">
        <f>IFERROR(VLOOKUP(A301,Students!$A:$B,2,FALSE),"")</f>
        <v/>
      </c>
      <c r="C301" s="2" t="inlineStr">
        <is>
          <t>Spring 2026</t>
        </is>
      </c>
      <c r="D301" s="2" t="inlineStr">
        <is>
          <t>Semester 3</t>
        </is>
      </c>
      <c r="E301" s="2" t="inlineStr">
        <is>
          <t>IRL 690</t>
        </is>
      </c>
      <c r="F301" s="2">
        <f>IFERROR(VLOOKUP(E301,Courses!$A:$C,2,FALSE),"")</f>
        <v/>
      </c>
      <c r="G301" s="2">
        <f>IFERROR(VLOOKUP(E301,Courses!$A:$C,3,FALSE),0)</f>
        <v/>
      </c>
      <c r="H301" s="2" t="inlineStr">
        <is>
          <t>B+</t>
        </is>
      </c>
      <c r="I301" s="2" t="n">
        <v>89</v>
      </c>
      <c r="J301" s="2">
        <f>IFERROR(VLOOKUP(H301,'Grade Scale'!$A:$B,2,FALSE),0)</f>
        <v/>
      </c>
      <c r="K301" s="2">
        <f>J301*G301</f>
        <v/>
      </c>
      <c r="L301" s="2">
        <f>IF(H301="F",0,G301)</f>
        <v/>
      </c>
    </row>
    <row r="302">
      <c r="A302" s="2" t="inlineStr">
        <is>
          <t>m250301</t>
        </is>
      </c>
      <c r="B302" s="2">
        <f>IFERROR(VLOOKUP(A302,Students!$A:$B,2,FALSE),"")</f>
        <v/>
      </c>
      <c r="C302" s="2" t="inlineStr">
        <is>
          <t>Fall 2025</t>
        </is>
      </c>
      <c r="D302" s="2" t="inlineStr">
        <is>
          <t>Semester 1</t>
        </is>
      </c>
      <c r="E302" s="2" t="inlineStr">
        <is>
          <t>CSE 101</t>
        </is>
      </c>
      <c r="F302" s="2">
        <f>IFERROR(VLOOKUP(E302,Courses!$A:$C,2,FALSE),"")</f>
        <v/>
      </c>
      <c r="G302" s="2">
        <f>IFERROR(VLOOKUP(E302,Courses!$A:$C,3,FALSE),0)</f>
        <v/>
      </c>
      <c r="H302" s="2" t="inlineStr">
        <is>
          <t>C</t>
        </is>
      </c>
      <c r="I302" s="2" t="n">
        <v>73</v>
      </c>
      <c r="J302" s="2">
        <f>IFERROR(VLOOKUP(H302,'Grade Scale'!$A:$B,2,FALSE),0)</f>
        <v/>
      </c>
      <c r="K302" s="2">
        <f>J302*G302</f>
        <v/>
      </c>
      <c r="L302" s="2">
        <f>IF(H302="F",0,G302)</f>
        <v/>
      </c>
    </row>
    <row r="303">
      <c r="A303" s="2" t="inlineStr">
        <is>
          <t>m250301</t>
        </is>
      </c>
      <c r="B303" s="2">
        <f>IFERROR(VLOOKUP(A303,Students!$A:$B,2,FALSE),"")</f>
        <v/>
      </c>
      <c r="C303" s="2" t="inlineStr">
        <is>
          <t>Fall 2025</t>
        </is>
      </c>
      <c r="D303" s="2" t="inlineStr">
        <is>
          <t>Semester 1</t>
        </is>
      </c>
      <c r="E303" s="2" t="inlineStr">
        <is>
          <t>MTH 110</t>
        </is>
      </c>
      <c r="F303" s="2">
        <f>IFERROR(VLOOKUP(E303,Courses!$A:$C,2,FALSE),"")</f>
        <v/>
      </c>
      <c r="G303" s="2">
        <f>IFERROR(VLOOKUP(E303,Courses!$A:$C,3,FALSE),0)</f>
        <v/>
      </c>
      <c r="H303" s="2" t="inlineStr">
        <is>
          <t>C</t>
        </is>
      </c>
      <c r="I303" s="2" t="n">
        <v>75</v>
      </c>
      <c r="J303" s="2">
        <f>IFERROR(VLOOKUP(H303,'Grade Scale'!$A:$B,2,FALSE),0)</f>
        <v/>
      </c>
      <c r="K303" s="2">
        <f>J303*G303</f>
        <v/>
      </c>
      <c r="L303" s="2">
        <f>IF(H303="F",0,G303)</f>
        <v/>
      </c>
    </row>
    <row r="304">
      <c r="A304" s="2" t="inlineStr">
        <is>
          <t>m250301</t>
        </is>
      </c>
      <c r="B304" s="2">
        <f>IFERROR(VLOOKUP(A304,Students!$A:$B,2,FALSE),"")</f>
        <v/>
      </c>
      <c r="C304" s="2" t="inlineStr">
        <is>
          <t>Fall 2025</t>
        </is>
      </c>
      <c r="D304" s="2" t="inlineStr">
        <is>
          <t>Semester 1</t>
        </is>
      </c>
      <c r="E304" s="2" t="inlineStr">
        <is>
          <t>CSE 120</t>
        </is>
      </c>
      <c r="F304" s="2">
        <f>IFERROR(VLOOKUP(E304,Courses!$A:$C,2,FALSE),"")</f>
        <v/>
      </c>
      <c r="G304" s="2">
        <f>IFERROR(VLOOKUP(E304,Courses!$A:$C,3,FALSE),0)</f>
        <v/>
      </c>
      <c r="H304" s="2" t="inlineStr">
        <is>
          <t>C</t>
        </is>
      </c>
      <c r="I304" s="2" t="n">
        <v>75</v>
      </c>
      <c r="J304" s="2">
        <f>IFERROR(VLOOKUP(H304,'Grade Scale'!$A:$B,2,FALSE),0)</f>
        <v/>
      </c>
      <c r="K304" s="2">
        <f>J304*G304</f>
        <v/>
      </c>
      <c r="L304" s="2">
        <f>IF(H304="F",0,G304)</f>
        <v/>
      </c>
    </row>
    <row r="305">
      <c r="A305" s="2" t="inlineStr">
        <is>
          <t>m250301</t>
        </is>
      </c>
      <c r="B305" s="2">
        <f>IFERROR(VLOOKUP(A305,Students!$A:$B,2,FALSE),"")</f>
        <v/>
      </c>
      <c r="C305" s="2" t="inlineStr">
        <is>
          <t>Fall 2025</t>
        </is>
      </c>
      <c r="D305" s="2" t="inlineStr">
        <is>
          <t>Semester 1</t>
        </is>
      </c>
      <c r="E305" s="2" t="inlineStr">
        <is>
          <t>ENG 101</t>
        </is>
      </c>
      <c r="F305" s="2">
        <f>IFERROR(VLOOKUP(E305,Courses!$A:$C,2,FALSE),"")</f>
        <v/>
      </c>
      <c r="G305" s="2">
        <f>IFERROR(VLOOKUP(E305,Courses!$A:$C,3,FALSE),0)</f>
        <v/>
      </c>
      <c r="H305" s="2" t="inlineStr">
        <is>
          <t>B-</t>
        </is>
      </c>
      <c r="I305" s="2" t="n">
        <v>81</v>
      </c>
      <c r="J305" s="2">
        <f>IFERROR(VLOOKUP(H305,'Grade Scale'!$A:$B,2,FALSE),0)</f>
        <v/>
      </c>
      <c r="K305" s="2">
        <f>J305*G305</f>
        <v/>
      </c>
      <c r="L305" s="2">
        <f>IF(H305="F",0,G305)</f>
        <v/>
      </c>
    </row>
    <row r="306">
      <c r="A306" s="2" t="inlineStr">
        <is>
          <t>m250301</t>
        </is>
      </c>
      <c r="B306" s="2">
        <f>IFERROR(VLOOKUP(A306,Students!$A:$B,2,FALSE),"")</f>
        <v/>
      </c>
      <c r="C306" s="2" t="inlineStr">
        <is>
          <t>Fall 2025</t>
        </is>
      </c>
      <c r="D306" s="2" t="inlineStr">
        <is>
          <t>Semester 1</t>
        </is>
      </c>
      <c r="E306" s="2" t="inlineStr">
        <is>
          <t>MTH 120</t>
        </is>
      </c>
      <c r="F306" s="2">
        <f>IFERROR(VLOOKUP(E306,Courses!$A:$C,2,FALSE),"")</f>
        <v/>
      </c>
      <c r="G306" s="2">
        <f>IFERROR(VLOOKUP(E306,Courses!$A:$C,3,FALSE),0)</f>
        <v/>
      </c>
      <c r="H306" s="2" t="inlineStr">
        <is>
          <t>C</t>
        </is>
      </c>
      <c r="I306" s="2" t="n">
        <v>74</v>
      </c>
      <c r="J306" s="2">
        <f>IFERROR(VLOOKUP(H306,'Grade Scale'!$A:$B,2,FALSE),0)</f>
        <v/>
      </c>
      <c r="K306" s="2">
        <f>J306*G306</f>
        <v/>
      </c>
      <c r="L306" s="2">
        <f>IF(H306="F",0,G306)</f>
        <v/>
      </c>
    </row>
    <row r="307">
      <c r="A307" s="2" t="inlineStr">
        <is>
          <t>m250301</t>
        </is>
      </c>
      <c r="B307" s="2">
        <f>IFERROR(VLOOKUP(A307,Students!$A:$B,2,FALSE),"")</f>
        <v/>
      </c>
      <c r="C307" s="2" t="inlineStr">
        <is>
          <t>Spring 2026</t>
        </is>
      </c>
      <c r="D307" s="2" t="inlineStr">
        <is>
          <t>Semester 2</t>
        </is>
      </c>
      <c r="E307" s="2" t="inlineStr">
        <is>
          <t>CSE 150</t>
        </is>
      </c>
      <c r="F307" s="2">
        <f>IFERROR(VLOOKUP(E307,Courses!$A:$C,2,FALSE),"")</f>
        <v/>
      </c>
      <c r="G307" s="2">
        <f>IFERROR(VLOOKUP(E307,Courses!$A:$C,3,FALSE),0)</f>
        <v/>
      </c>
      <c r="H307" s="2" t="inlineStr">
        <is>
          <t>B-</t>
        </is>
      </c>
      <c r="I307" s="2" t="n">
        <v>80</v>
      </c>
      <c r="J307" s="2">
        <f>IFERROR(VLOOKUP(H307,'Grade Scale'!$A:$B,2,FALSE),0)</f>
        <v/>
      </c>
      <c r="K307" s="2">
        <f>J307*G307</f>
        <v/>
      </c>
      <c r="L307" s="2">
        <f>IF(H307="F",0,G307)</f>
        <v/>
      </c>
    </row>
    <row r="308">
      <c r="A308" s="2" t="inlineStr">
        <is>
          <t>m250301</t>
        </is>
      </c>
      <c r="B308" s="2">
        <f>IFERROR(VLOOKUP(A308,Students!$A:$B,2,FALSE),"")</f>
        <v/>
      </c>
      <c r="C308" s="2" t="inlineStr">
        <is>
          <t>Spring 2026</t>
        </is>
      </c>
      <c r="D308" s="2" t="inlineStr">
        <is>
          <t>Semester 2</t>
        </is>
      </c>
      <c r="E308" s="2" t="inlineStr">
        <is>
          <t>CSE 160</t>
        </is>
      </c>
      <c r="F308" s="2">
        <f>IFERROR(VLOOKUP(E308,Courses!$A:$C,2,FALSE),"")</f>
        <v/>
      </c>
      <c r="G308" s="2">
        <f>IFERROR(VLOOKUP(E308,Courses!$A:$C,3,FALSE),0)</f>
        <v/>
      </c>
      <c r="H308" s="2" t="inlineStr">
        <is>
          <t>B</t>
        </is>
      </c>
      <c r="I308" s="2" t="n">
        <v>83</v>
      </c>
      <c r="J308" s="2">
        <f>IFERROR(VLOOKUP(H308,'Grade Scale'!$A:$B,2,FALSE),0)</f>
        <v/>
      </c>
      <c r="K308" s="2">
        <f>J308*G308</f>
        <v/>
      </c>
      <c r="L308" s="2">
        <f>IF(H308="F",0,G308)</f>
        <v/>
      </c>
    </row>
    <row r="309">
      <c r="A309" s="2" t="inlineStr">
        <is>
          <t>m250301</t>
        </is>
      </c>
      <c r="B309" s="2">
        <f>IFERROR(VLOOKUP(A309,Students!$A:$B,2,FALSE),"")</f>
        <v/>
      </c>
      <c r="C309" s="2" t="inlineStr">
        <is>
          <t>Spring 2026</t>
        </is>
      </c>
      <c r="D309" s="2" t="inlineStr">
        <is>
          <t>Semester 2</t>
        </is>
      </c>
      <c r="E309" s="2" t="inlineStr">
        <is>
          <t>CSE 170</t>
        </is>
      </c>
      <c r="F309" s="2">
        <f>IFERROR(VLOOKUP(E309,Courses!$A:$C,2,FALSE),"")</f>
        <v/>
      </c>
      <c r="G309" s="2">
        <f>IFERROR(VLOOKUP(E309,Courses!$A:$C,3,FALSE),0)</f>
        <v/>
      </c>
      <c r="H309" s="2" t="inlineStr">
        <is>
          <t>B</t>
        </is>
      </c>
      <c r="I309" s="2" t="n">
        <v>83</v>
      </c>
      <c r="J309" s="2">
        <f>IFERROR(VLOOKUP(H309,'Grade Scale'!$A:$B,2,FALSE),0)</f>
        <v/>
      </c>
      <c r="K309" s="2">
        <f>J309*G309</f>
        <v/>
      </c>
      <c r="L309" s="2">
        <f>IF(H309="F",0,G309)</f>
        <v/>
      </c>
    </row>
    <row r="310">
      <c r="A310" s="2" t="inlineStr">
        <is>
          <t>m250301</t>
        </is>
      </c>
      <c r="B310" s="2">
        <f>IFERROR(VLOOKUP(A310,Students!$A:$B,2,FALSE),"")</f>
        <v/>
      </c>
      <c r="C310" s="2" t="inlineStr">
        <is>
          <t>Spring 2026</t>
        </is>
      </c>
      <c r="D310" s="2" t="inlineStr">
        <is>
          <t>Semester 2</t>
        </is>
      </c>
      <c r="E310" s="2" t="inlineStr">
        <is>
          <t>ENG 102</t>
        </is>
      </c>
      <c r="F310" s="2">
        <f>IFERROR(VLOOKUP(E310,Courses!$A:$C,2,FALSE),"")</f>
        <v/>
      </c>
      <c r="G310" s="2">
        <f>IFERROR(VLOOKUP(E310,Courses!$A:$C,3,FALSE),0)</f>
        <v/>
      </c>
      <c r="H310" s="2" t="inlineStr">
        <is>
          <t>C-</t>
        </is>
      </c>
      <c r="I310" s="2" t="n">
        <v>71</v>
      </c>
      <c r="J310" s="2">
        <f>IFERROR(VLOOKUP(H310,'Grade Scale'!$A:$B,2,FALSE),0)</f>
        <v/>
      </c>
      <c r="K310" s="2">
        <f>J310*G310</f>
        <v/>
      </c>
      <c r="L310" s="2">
        <f>IF(H310="F",0,G310)</f>
        <v/>
      </c>
    </row>
    <row r="311">
      <c r="A311" s="2" t="inlineStr">
        <is>
          <t>m250301</t>
        </is>
      </c>
      <c r="B311" s="2">
        <f>IFERROR(VLOOKUP(A311,Students!$A:$B,2,FALSE),"")</f>
        <v/>
      </c>
      <c r="C311" s="2" t="inlineStr">
        <is>
          <t>Spring 2026</t>
        </is>
      </c>
      <c r="D311" s="2" t="inlineStr">
        <is>
          <t>Semester 2</t>
        </is>
      </c>
      <c r="E311" s="2" t="inlineStr">
        <is>
          <t>MTH 130</t>
        </is>
      </c>
      <c r="F311" s="2">
        <f>IFERROR(VLOOKUP(E311,Courses!$A:$C,2,FALSE),"")</f>
        <v/>
      </c>
      <c r="G311" s="2">
        <f>IFERROR(VLOOKUP(E311,Courses!$A:$C,3,FALSE),0)</f>
        <v/>
      </c>
      <c r="H311" s="2" t="inlineStr">
        <is>
          <t>D</t>
        </is>
      </c>
      <c r="I311" s="2" t="n">
        <v>66</v>
      </c>
      <c r="J311" s="2">
        <f>IFERROR(VLOOKUP(H311,'Grade Scale'!$A:$B,2,FALSE),0)</f>
        <v/>
      </c>
      <c r="K311" s="2">
        <f>J311*G311</f>
        <v/>
      </c>
      <c r="L311" s="2">
        <f>IF(H311="F",0,G311)</f>
        <v/>
      </c>
    </row>
    <row r="312">
      <c r="A312" s="2" t="inlineStr">
        <is>
          <t>m250302</t>
        </is>
      </c>
      <c r="B312" s="2">
        <f>IFERROR(VLOOKUP(A312,Students!$A:$B,2,FALSE),"")</f>
        <v/>
      </c>
      <c r="C312" s="2" t="inlineStr">
        <is>
          <t>Fall 2025</t>
        </is>
      </c>
      <c r="D312" s="2" t="inlineStr">
        <is>
          <t>Semester 1</t>
        </is>
      </c>
      <c r="E312" s="2" t="inlineStr">
        <is>
          <t>ART 101</t>
        </is>
      </c>
      <c r="F312" s="2">
        <f>IFERROR(VLOOKUP(E312,Courses!$A:$C,2,FALSE),"")</f>
        <v/>
      </c>
      <c r="G312" s="2">
        <f>IFERROR(VLOOKUP(E312,Courses!$A:$C,3,FALSE),0)</f>
        <v/>
      </c>
      <c r="H312" s="2" t="inlineStr">
        <is>
          <t>B</t>
        </is>
      </c>
      <c r="I312" s="2" t="n">
        <v>86</v>
      </c>
      <c r="J312" s="2">
        <f>IFERROR(VLOOKUP(H312,'Grade Scale'!$A:$B,2,FALSE),0)</f>
        <v/>
      </c>
      <c r="K312" s="2">
        <f>J312*G312</f>
        <v/>
      </c>
      <c r="L312" s="2">
        <f>IF(H312="F",0,G312)</f>
        <v/>
      </c>
    </row>
    <row r="313">
      <c r="A313" s="2" t="inlineStr">
        <is>
          <t>m250302</t>
        </is>
      </c>
      <c r="B313" s="2">
        <f>IFERROR(VLOOKUP(A313,Students!$A:$B,2,FALSE),"")</f>
        <v/>
      </c>
      <c r="C313" s="2" t="inlineStr">
        <is>
          <t>Fall 2025</t>
        </is>
      </c>
      <c r="D313" s="2" t="inlineStr">
        <is>
          <t>Semester 1</t>
        </is>
      </c>
      <c r="E313" s="2" t="inlineStr">
        <is>
          <t>DES 101</t>
        </is>
      </c>
      <c r="F313" s="2">
        <f>IFERROR(VLOOKUP(E313,Courses!$A:$C,2,FALSE),"")</f>
        <v/>
      </c>
      <c r="G313" s="2">
        <f>IFERROR(VLOOKUP(E313,Courses!$A:$C,3,FALSE),0)</f>
        <v/>
      </c>
      <c r="H313" s="2" t="inlineStr">
        <is>
          <t>B-</t>
        </is>
      </c>
      <c r="I313" s="2" t="n">
        <v>82</v>
      </c>
      <c r="J313" s="2">
        <f>IFERROR(VLOOKUP(H313,'Grade Scale'!$A:$B,2,FALSE),0)</f>
        <v/>
      </c>
      <c r="K313" s="2">
        <f>J313*G313</f>
        <v/>
      </c>
      <c r="L313" s="2">
        <f>IF(H313="F",0,G313)</f>
        <v/>
      </c>
    </row>
    <row r="314">
      <c r="A314" s="2" t="inlineStr">
        <is>
          <t>m250302</t>
        </is>
      </c>
      <c r="B314" s="2">
        <f>IFERROR(VLOOKUP(A314,Students!$A:$B,2,FALSE),"")</f>
        <v/>
      </c>
      <c r="C314" s="2" t="inlineStr">
        <is>
          <t>Fall 2025</t>
        </is>
      </c>
      <c r="D314" s="2" t="inlineStr">
        <is>
          <t>Semester 1</t>
        </is>
      </c>
      <c r="E314" s="2" t="inlineStr">
        <is>
          <t>ART 110</t>
        </is>
      </c>
      <c r="F314" s="2">
        <f>IFERROR(VLOOKUP(E314,Courses!$A:$C,2,FALSE),"")</f>
        <v/>
      </c>
      <c r="G314" s="2">
        <f>IFERROR(VLOOKUP(E314,Courses!$A:$C,3,FALSE),0)</f>
        <v/>
      </c>
      <c r="H314" s="2" t="inlineStr">
        <is>
          <t>B+</t>
        </is>
      </c>
      <c r="I314" s="2" t="n">
        <v>88</v>
      </c>
      <c r="J314" s="2">
        <f>IFERROR(VLOOKUP(H314,'Grade Scale'!$A:$B,2,FALSE),0)</f>
        <v/>
      </c>
      <c r="K314" s="2">
        <f>J314*G314</f>
        <v/>
      </c>
      <c r="L314" s="2">
        <f>IF(H314="F",0,G314)</f>
        <v/>
      </c>
    </row>
    <row r="315">
      <c r="A315" s="2" t="inlineStr">
        <is>
          <t>m250302</t>
        </is>
      </c>
      <c r="B315" s="2">
        <f>IFERROR(VLOOKUP(A315,Students!$A:$B,2,FALSE),"")</f>
        <v/>
      </c>
      <c r="C315" s="2" t="inlineStr">
        <is>
          <t>Fall 2025</t>
        </is>
      </c>
      <c r="D315" s="2" t="inlineStr">
        <is>
          <t>Semester 1</t>
        </is>
      </c>
      <c r="E315" s="2" t="inlineStr">
        <is>
          <t>ENG 101</t>
        </is>
      </c>
      <c r="F315" s="2">
        <f>IFERROR(VLOOKUP(E315,Courses!$A:$C,2,FALSE),"")</f>
        <v/>
      </c>
      <c r="G315" s="2">
        <f>IFERROR(VLOOKUP(E315,Courses!$A:$C,3,FALSE),0)</f>
        <v/>
      </c>
      <c r="H315" s="2" t="inlineStr">
        <is>
          <t>A-</t>
        </is>
      </c>
      <c r="I315" s="2" t="n">
        <v>91</v>
      </c>
      <c r="J315" s="2">
        <f>IFERROR(VLOOKUP(H315,'Grade Scale'!$A:$B,2,FALSE),0)</f>
        <v/>
      </c>
      <c r="K315" s="2">
        <f>J315*G315</f>
        <v/>
      </c>
      <c r="L315" s="2">
        <f>IF(H315="F",0,G315)</f>
        <v/>
      </c>
    </row>
    <row r="316">
      <c r="A316" s="2" t="inlineStr">
        <is>
          <t>m250302</t>
        </is>
      </c>
      <c r="B316" s="2">
        <f>IFERROR(VLOOKUP(A316,Students!$A:$B,2,FALSE),"")</f>
        <v/>
      </c>
      <c r="C316" s="2" t="inlineStr">
        <is>
          <t>Fall 2025</t>
        </is>
      </c>
      <c r="D316" s="2" t="inlineStr">
        <is>
          <t>Semester 1</t>
        </is>
      </c>
      <c r="E316" s="2" t="inlineStr">
        <is>
          <t>HIS 101</t>
        </is>
      </c>
      <c r="F316" s="2">
        <f>IFERROR(VLOOKUP(E316,Courses!$A:$C,2,FALSE),"")</f>
        <v/>
      </c>
      <c r="G316" s="2">
        <f>IFERROR(VLOOKUP(E316,Courses!$A:$C,3,FALSE),0)</f>
        <v/>
      </c>
      <c r="H316" s="2" t="inlineStr">
        <is>
          <t>A</t>
        </is>
      </c>
      <c r="I316" s="2" t="n">
        <v>93</v>
      </c>
      <c r="J316" s="2">
        <f>IFERROR(VLOOKUP(H316,'Grade Scale'!$A:$B,2,FALSE),0)</f>
        <v/>
      </c>
      <c r="K316" s="2">
        <f>J316*G316</f>
        <v/>
      </c>
      <c r="L316" s="2">
        <f>IF(H316="F",0,G316)</f>
        <v/>
      </c>
    </row>
    <row r="317">
      <c r="A317" s="2" t="inlineStr">
        <is>
          <t>m250302</t>
        </is>
      </c>
      <c r="B317" s="2">
        <f>IFERROR(VLOOKUP(A317,Students!$A:$B,2,FALSE),"")</f>
        <v/>
      </c>
      <c r="C317" s="2" t="inlineStr">
        <is>
          <t>Spring 2026</t>
        </is>
      </c>
      <c r="D317" s="2" t="inlineStr">
        <is>
          <t>Semester 2</t>
        </is>
      </c>
      <c r="E317" s="2" t="inlineStr">
        <is>
          <t>DES 150</t>
        </is>
      </c>
      <c r="F317" s="2">
        <f>IFERROR(VLOOKUP(E317,Courses!$A:$C,2,FALSE),"")</f>
        <v/>
      </c>
      <c r="G317" s="2">
        <f>IFERROR(VLOOKUP(E317,Courses!$A:$C,3,FALSE),0)</f>
        <v/>
      </c>
      <c r="H317" s="2" t="inlineStr">
        <is>
          <t>B+</t>
        </is>
      </c>
      <c r="I317" s="2" t="n">
        <v>89</v>
      </c>
      <c r="J317" s="2">
        <f>IFERROR(VLOOKUP(H317,'Grade Scale'!$A:$B,2,FALSE),0)</f>
        <v/>
      </c>
      <c r="K317" s="2">
        <f>J317*G317</f>
        <v/>
      </c>
      <c r="L317" s="2">
        <f>IF(H317="F",0,G317)</f>
        <v/>
      </c>
    </row>
    <row r="318">
      <c r="A318" s="2" t="inlineStr">
        <is>
          <t>m250302</t>
        </is>
      </c>
      <c r="B318" s="2">
        <f>IFERROR(VLOOKUP(A318,Students!$A:$B,2,FALSE),"")</f>
        <v/>
      </c>
      <c r="C318" s="2" t="inlineStr">
        <is>
          <t>Spring 2026</t>
        </is>
      </c>
      <c r="D318" s="2" t="inlineStr">
        <is>
          <t>Semester 2</t>
        </is>
      </c>
      <c r="E318" s="2" t="inlineStr">
        <is>
          <t>DES 160</t>
        </is>
      </c>
      <c r="F318" s="2">
        <f>IFERROR(VLOOKUP(E318,Courses!$A:$C,2,FALSE),"")</f>
        <v/>
      </c>
      <c r="G318" s="2">
        <f>IFERROR(VLOOKUP(E318,Courses!$A:$C,3,FALSE),0)</f>
        <v/>
      </c>
      <c r="H318" s="2" t="inlineStr">
        <is>
          <t>B</t>
        </is>
      </c>
      <c r="I318" s="2" t="n">
        <v>83</v>
      </c>
      <c r="J318" s="2">
        <f>IFERROR(VLOOKUP(H318,'Grade Scale'!$A:$B,2,FALSE),0)</f>
        <v/>
      </c>
      <c r="K318" s="2">
        <f>J318*G318</f>
        <v/>
      </c>
      <c r="L318" s="2">
        <f>IF(H318="F",0,G318)</f>
        <v/>
      </c>
    </row>
    <row r="319">
      <c r="A319" s="2" t="inlineStr">
        <is>
          <t>m250302</t>
        </is>
      </c>
      <c r="B319" s="2">
        <f>IFERROR(VLOOKUP(A319,Students!$A:$B,2,FALSE),"")</f>
        <v/>
      </c>
      <c r="C319" s="2" t="inlineStr">
        <is>
          <t>Spring 2026</t>
        </is>
      </c>
      <c r="D319" s="2" t="inlineStr">
        <is>
          <t>Semester 2</t>
        </is>
      </c>
      <c r="E319" s="2" t="inlineStr">
        <is>
          <t>DES 170</t>
        </is>
      </c>
      <c r="F319" s="2">
        <f>IFERROR(VLOOKUP(E319,Courses!$A:$C,2,FALSE),"")</f>
        <v/>
      </c>
      <c r="G319" s="2">
        <f>IFERROR(VLOOKUP(E319,Courses!$A:$C,3,FALSE),0)</f>
        <v/>
      </c>
      <c r="H319" s="2" t="inlineStr">
        <is>
          <t>B+</t>
        </is>
      </c>
      <c r="I319" s="2" t="n">
        <v>89</v>
      </c>
      <c r="J319" s="2">
        <f>IFERROR(VLOOKUP(H319,'Grade Scale'!$A:$B,2,FALSE),0)</f>
        <v/>
      </c>
      <c r="K319" s="2">
        <f>J319*G319</f>
        <v/>
      </c>
      <c r="L319" s="2">
        <f>IF(H319="F",0,G319)</f>
        <v/>
      </c>
    </row>
    <row r="320">
      <c r="A320" s="2" t="inlineStr">
        <is>
          <t>m250302</t>
        </is>
      </c>
      <c r="B320" s="2">
        <f>IFERROR(VLOOKUP(A320,Students!$A:$B,2,FALSE),"")</f>
        <v/>
      </c>
      <c r="C320" s="2" t="inlineStr">
        <is>
          <t>Spring 2026</t>
        </is>
      </c>
      <c r="D320" s="2" t="inlineStr">
        <is>
          <t>Semester 2</t>
        </is>
      </c>
      <c r="E320" s="2" t="inlineStr">
        <is>
          <t>ENG 102</t>
        </is>
      </c>
      <c r="F320" s="2">
        <f>IFERROR(VLOOKUP(E320,Courses!$A:$C,2,FALSE),"")</f>
        <v/>
      </c>
      <c r="G320" s="2">
        <f>IFERROR(VLOOKUP(E320,Courses!$A:$C,3,FALSE),0)</f>
        <v/>
      </c>
      <c r="H320" s="2" t="inlineStr">
        <is>
          <t>B-</t>
        </is>
      </c>
      <c r="I320" s="2" t="n">
        <v>82</v>
      </c>
      <c r="J320" s="2">
        <f>IFERROR(VLOOKUP(H320,'Grade Scale'!$A:$B,2,FALSE),0)</f>
        <v/>
      </c>
      <c r="K320" s="2">
        <f>J320*G320</f>
        <v/>
      </c>
      <c r="L320" s="2">
        <f>IF(H320="F",0,G320)</f>
        <v/>
      </c>
    </row>
    <row r="321">
      <c r="A321" s="2" t="inlineStr">
        <is>
          <t>m250302</t>
        </is>
      </c>
      <c r="B321" s="2">
        <f>IFERROR(VLOOKUP(A321,Students!$A:$B,2,FALSE),"")</f>
        <v/>
      </c>
      <c r="C321" s="2" t="inlineStr">
        <is>
          <t>Spring 2026</t>
        </is>
      </c>
      <c r="D321" s="2" t="inlineStr">
        <is>
          <t>Semester 2</t>
        </is>
      </c>
      <c r="E321" s="2" t="inlineStr">
        <is>
          <t>ART 150</t>
        </is>
      </c>
      <c r="F321" s="2">
        <f>IFERROR(VLOOKUP(E321,Courses!$A:$C,2,FALSE),"")</f>
        <v/>
      </c>
      <c r="G321" s="2">
        <f>IFERROR(VLOOKUP(E321,Courses!$A:$C,3,FALSE),0)</f>
        <v/>
      </c>
      <c r="H321" s="2" t="inlineStr">
        <is>
          <t>A</t>
        </is>
      </c>
      <c r="I321" s="2" t="n">
        <v>100</v>
      </c>
      <c r="J321" s="2">
        <f>IFERROR(VLOOKUP(H321,'Grade Scale'!$A:$B,2,FALSE),0)</f>
        <v/>
      </c>
      <c r="K321" s="2">
        <f>J321*G321</f>
        <v/>
      </c>
      <c r="L321" s="2">
        <f>IF(H321="F",0,G321)</f>
        <v/>
      </c>
    </row>
    <row r="322">
      <c r="A322" s="2" t="inlineStr">
        <is>
          <t>m250303</t>
        </is>
      </c>
      <c r="B322" s="2">
        <f>IFERROR(VLOOKUP(A322,Students!$A:$B,2,FALSE),"")</f>
        <v/>
      </c>
      <c r="C322" s="2" t="inlineStr">
        <is>
          <t>Fall 2025</t>
        </is>
      </c>
      <c r="D322" s="2" t="inlineStr">
        <is>
          <t>Semester 1</t>
        </is>
      </c>
      <c r="E322" s="2" t="inlineStr">
        <is>
          <t>TAM 530</t>
        </is>
      </c>
      <c r="F322" s="2">
        <f>IFERROR(VLOOKUP(E322,Courses!$A:$C,2,FALSE),"")</f>
        <v/>
      </c>
      <c r="G322" s="2">
        <f>IFERROR(VLOOKUP(E322,Courses!$A:$C,3,FALSE),0)</f>
        <v/>
      </c>
      <c r="H322" s="2" t="inlineStr">
        <is>
          <t>C</t>
        </is>
      </c>
      <c r="I322" s="2" t="n">
        <v>75</v>
      </c>
      <c r="J322" s="2">
        <f>IFERROR(VLOOKUP(H322,'Grade Scale'!$A:$B,2,FALSE),0)</f>
        <v/>
      </c>
      <c r="K322" s="2">
        <f>J322*G322</f>
        <v/>
      </c>
      <c r="L322" s="2">
        <f>IF(H322="F",0,G322)</f>
        <v/>
      </c>
    </row>
    <row r="323">
      <c r="A323" s="2" t="inlineStr">
        <is>
          <t>m250303</t>
        </is>
      </c>
      <c r="B323" s="2">
        <f>IFERROR(VLOOKUP(A323,Students!$A:$B,2,FALSE),"")</f>
        <v/>
      </c>
      <c r="C323" s="2" t="inlineStr">
        <is>
          <t>Fall 2025</t>
        </is>
      </c>
      <c r="D323" s="2" t="inlineStr">
        <is>
          <t>Semester 1</t>
        </is>
      </c>
      <c r="E323" s="2" t="inlineStr">
        <is>
          <t>TGM 586</t>
        </is>
      </c>
      <c r="F323" s="2">
        <f>IFERROR(VLOOKUP(E323,Courses!$A:$C,2,FALSE),"")</f>
        <v/>
      </c>
      <c r="G323" s="2">
        <f>IFERROR(VLOOKUP(E323,Courses!$A:$C,3,FALSE),0)</f>
        <v/>
      </c>
      <c r="H323" s="2" t="inlineStr">
        <is>
          <t>C+</t>
        </is>
      </c>
      <c r="I323" s="2" t="n">
        <v>79</v>
      </c>
      <c r="J323" s="2">
        <f>IFERROR(VLOOKUP(H323,'Grade Scale'!$A:$B,2,FALSE),0)</f>
        <v/>
      </c>
      <c r="K323" s="2">
        <f>J323*G323</f>
        <v/>
      </c>
      <c r="L323" s="2">
        <f>IF(H323="F",0,G323)</f>
        <v/>
      </c>
    </row>
    <row r="324">
      <c r="A324" s="2" t="inlineStr">
        <is>
          <t>m250303</t>
        </is>
      </c>
      <c r="B324" s="2">
        <f>IFERROR(VLOOKUP(A324,Students!$A:$B,2,FALSE),"")</f>
        <v/>
      </c>
      <c r="C324" s="2" t="inlineStr">
        <is>
          <t>Fall 2025</t>
        </is>
      </c>
      <c r="D324" s="2" t="inlineStr">
        <is>
          <t>Semester 1</t>
        </is>
      </c>
      <c r="E324" s="2" t="inlineStr">
        <is>
          <t>TAM 557</t>
        </is>
      </c>
      <c r="F324" s="2">
        <f>IFERROR(VLOOKUP(E324,Courses!$A:$C,2,FALSE),"")</f>
        <v/>
      </c>
      <c r="G324" s="2">
        <f>IFERROR(VLOOKUP(E324,Courses!$A:$C,3,FALSE),0)</f>
        <v/>
      </c>
      <c r="H324" s="2" t="inlineStr">
        <is>
          <t>C+</t>
        </is>
      </c>
      <c r="I324" s="2" t="n">
        <v>77</v>
      </c>
      <c r="J324" s="2">
        <f>IFERROR(VLOOKUP(H324,'Grade Scale'!$A:$B,2,FALSE),0)</f>
        <v/>
      </c>
      <c r="K324" s="2">
        <f>J324*G324</f>
        <v/>
      </c>
      <c r="L324" s="2">
        <f>IF(H324="F",0,G324)</f>
        <v/>
      </c>
    </row>
    <row r="325">
      <c r="A325" s="2" t="inlineStr">
        <is>
          <t>m250303</t>
        </is>
      </c>
      <c r="B325" s="2">
        <f>IFERROR(VLOOKUP(A325,Students!$A:$B,2,FALSE),"")</f>
        <v/>
      </c>
      <c r="C325" s="2" t="inlineStr">
        <is>
          <t>Fall 2025</t>
        </is>
      </c>
      <c r="D325" s="2" t="inlineStr">
        <is>
          <t>Semester 1</t>
        </is>
      </c>
      <c r="E325" s="2" t="inlineStr">
        <is>
          <t>TAM 542</t>
        </is>
      </c>
      <c r="F325" s="2">
        <f>IFERROR(VLOOKUP(E325,Courses!$A:$C,2,FALSE),"")</f>
        <v/>
      </c>
      <c r="G325" s="2">
        <f>IFERROR(VLOOKUP(E325,Courses!$A:$C,3,FALSE),0)</f>
        <v/>
      </c>
      <c r="H325" s="2" t="inlineStr">
        <is>
          <t>B-</t>
        </is>
      </c>
      <c r="I325" s="2" t="n">
        <v>82</v>
      </c>
      <c r="J325" s="2">
        <f>IFERROR(VLOOKUP(H325,'Grade Scale'!$A:$B,2,FALSE),0)</f>
        <v/>
      </c>
      <c r="K325" s="2">
        <f>J325*G325</f>
        <v/>
      </c>
      <c r="L325" s="2">
        <f>IF(H325="F",0,G325)</f>
        <v/>
      </c>
    </row>
    <row r="326">
      <c r="A326" s="2" t="inlineStr">
        <is>
          <t>m250303</t>
        </is>
      </c>
      <c r="B326" s="2">
        <f>IFERROR(VLOOKUP(A326,Students!$A:$B,2,FALSE),"")</f>
        <v/>
      </c>
      <c r="C326" s="2" t="inlineStr">
        <is>
          <t>Fall 2025</t>
        </is>
      </c>
      <c r="D326" s="2" t="inlineStr">
        <is>
          <t>Semester 1</t>
        </is>
      </c>
      <c r="E326" s="2" t="inlineStr">
        <is>
          <t>TAM 511</t>
        </is>
      </c>
      <c r="F326" s="2">
        <f>IFERROR(VLOOKUP(E326,Courses!$A:$C,2,FALSE),"")</f>
        <v/>
      </c>
      <c r="G326" s="2">
        <f>IFERROR(VLOOKUP(E326,Courses!$A:$C,3,FALSE),0)</f>
        <v/>
      </c>
      <c r="H326" s="2" t="inlineStr">
        <is>
          <t>A-</t>
        </is>
      </c>
      <c r="I326" s="2" t="n">
        <v>92</v>
      </c>
      <c r="J326" s="2">
        <f>IFERROR(VLOOKUP(H326,'Grade Scale'!$A:$B,2,FALSE),0)</f>
        <v/>
      </c>
      <c r="K326" s="2">
        <f>J326*G326</f>
        <v/>
      </c>
      <c r="L326" s="2">
        <f>IF(H326="F",0,G326)</f>
        <v/>
      </c>
    </row>
    <row r="327">
      <c r="A327" s="2" t="inlineStr">
        <is>
          <t>m250303</t>
        </is>
      </c>
      <c r="B327" s="2">
        <f>IFERROR(VLOOKUP(A327,Students!$A:$B,2,FALSE),"")</f>
        <v/>
      </c>
      <c r="C327" s="2" t="inlineStr">
        <is>
          <t>Spring 2026</t>
        </is>
      </c>
      <c r="D327" s="2" t="inlineStr">
        <is>
          <t>Semester 2</t>
        </is>
      </c>
      <c r="E327" s="2" t="inlineStr">
        <is>
          <t>IAL 503</t>
        </is>
      </c>
      <c r="F327" s="2">
        <f>IFERROR(VLOOKUP(E327,Courses!$A:$C,2,FALSE),"")</f>
        <v/>
      </c>
      <c r="G327" s="2">
        <f>IFERROR(VLOOKUP(E327,Courses!$A:$C,3,FALSE),0)</f>
        <v/>
      </c>
      <c r="H327" s="2" t="inlineStr">
        <is>
          <t>B</t>
        </is>
      </c>
      <c r="I327" s="2" t="n">
        <v>83</v>
      </c>
      <c r="J327" s="2">
        <f>IFERROR(VLOOKUP(H327,'Grade Scale'!$A:$B,2,FALSE),0)</f>
        <v/>
      </c>
      <c r="K327" s="2">
        <f>J327*G327</f>
        <v/>
      </c>
      <c r="L327" s="2">
        <f>IF(H327="F",0,G327)</f>
        <v/>
      </c>
    </row>
    <row r="328">
      <c r="A328" s="2" t="inlineStr">
        <is>
          <t>m250303</t>
        </is>
      </c>
      <c r="B328" s="2">
        <f>IFERROR(VLOOKUP(A328,Students!$A:$B,2,FALSE),"")</f>
        <v/>
      </c>
      <c r="C328" s="2" t="inlineStr">
        <is>
          <t>Spring 2026</t>
        </is>
      </c>
      <c r="D328" s="2" t="inlineStr">
        <is>
          <t>Semester 2</t>
        </is>
      </c>
      <c r="E328" s="2" t="inlineStr">
        <is>
          <t>FIN 560</t>
        </is>
      </c>
      <c r="F328" s="2">
        <f>IFERROR(VLOOKUP(E328,Courses!$A:$C,2,FALSE),"")</f>
        <v/>
      </c>
      <c r="G328" s="2">
        <f>IFERROR(VLOOKUP(E328,Courses!$A:$C,3,FALSE),0)</f>
        <v/>
      </c>
      <c r="H328" s="2" t="inlineStr">
        <is>
          <t>B</t>
        </is>
      </c>
      <c r="I328" s="2" t="n">
        <v>84</v>
      </c>
      <c r="J328" s="2">
        <f>IFERROR(VLOOKUP(H328,'Grade Scale'!$A:$B,2,FALSE),0)</f>
        <v/>
      </c>
      <c r="K328" s="2">
        <f>J328*G328</f>
        <v/>
      </c>
      <c r="L328" s="2">
        <f>IF(H328="F",0,G328)</f>
        <v/>
      </c>
    </row>
    <row r="329">
      <c r="A329" s="2" t="inlineStr">
        <is>
          <t>m250303</t>
        </is>
      </c>
      <c r="B329" s="2">
        <f>IFERROR(VLOOKUP(A329,Students!$A:$B,2,FALSE),"")</f>
        <v/>
      </c>
      <c r="C329" s="2" t="inlineStr">
        <is>
          <t>Spring 2026</t>
        </is>
      </c>
      <c r="D329" s="2" t="inlineStr">
        <is>
          <t>Semester 2</t>
        </is>
      </c>
      <c r="E329" s="2" t="inlineStr">
        <is>
          <t>TGM 551</t>
        </is>
      </c>
      <c r="F329" s="2">
        <f>IFERROR(VLOOKUP(E329,Courses!$A:$C,2,FALSE),"")</f>
        <v/>
      </c>
      <c r="G329" s="2">
        <f>IFERROR(VLOOKUP(E329,Courses!$A:$C,3,FALSE),0)</f>
        <v/>
      </c>
      <c r="H329" s="2" t="inlineStr">
        <is>
          <t>A</t>
        </is>
      </c>
      <c r="I329" s="2" t="n">
        <v>93</v>
      </c>
      <c r="J329" s="2">
        <f>IFERROR(VLOOKUP(H329,'Grade Scale'!$A:$B,2,FALSE),0)</f>
        <v/>
      </c>
      <c r="K329" s="2">
        <f>J329*G329</f>
        <v/>
      </c>
      <c r="L329" s="2">
        <f>IF(H329="F",0,G329)</f>
        <v/>
      </c>
    </row>
    <row r="330">
      <c r="A330" s="2" t="inlineStr">
        <is>
          <t>m250303</t>
        </is>
      </c>
      <c r="B330" s="2">
        <f>IFERROR(VLOOKUP(A330,Students!$A:$B,2,FALSE),"")</f>
        <v/>
      </c>
      <c r="C330" s="2" t="inlineStr">
        <is>
          <t>Spring 2026</t>
        </is>
      </c>
      <c r="D330" s="2" t="inlineStr">
        <is>
          <t>Semester 2</t>
        </is>
      </c>
      <c r="E330" s="2" t="inlineStr">
        <is>
          <t>TAM 505</t>
        </is>
      </c>
      <c r="F330" s="2">
        <f>IFERROR(VLOOKUP(E330,Courses!$A:$C,2,FALSE),"")</f>
        <v/>
      </c>
      <c r="G330" s="2">
        <f>IFERROR(VLOOKUP(E330,Courses!$A:$C,3,FALSE),0)</f>
        <v/>
      </c>
      <c r="H330" s="2" t="inlineStr">
        <is>
          <t>B</t>
        </is>
      </c>
      <c r="I330" s="2" t="n">
        <v>85</v>
      </c>
      <c r="J330" s="2">
        <f>IFERROR(VLOOKUP(H330,'Grade Scale'!$A:$B,2,FALSE),0)</f>
        <v/>
      </c>
      <c r="K330" s="2">
        <f>J330*G330</f>
        <v/>
      </c>
      <c r="L330" s="2">
        <f>IF(H330="F",0,G330)</f>
        <v/>
      </c>
    </row>
    <row r="331">
      <c r="A331" s="2" t="inlineStr">
        <is>
          <t>m250303</t>
        </is>
      </c>
      <c r="B331" s="2">
        <f>IFERROR(VLOOKUP(A331,Students!$A:$B,2,FALSE),"")</f>
        <v/>
      </c>
      <c r="C331" s="2" t="inlineStr">
        <is>
          <t>Spring 2026</t>
        </is>
      </c>
      <c r="D331" s="2" t="inlineStr">
        <is>
          <t>Semester 2</t>
        </is>
      </c>
      <c r="E331" s="2" t="inlineStr">
        <is>
          <t>TGM 507</t>
        </is>
      </c>
      <c r="F331" s="2">
        <f>IFERROR(VLOOKUP(E331,Courses!$A:$C,2,FALSE),"")</f>
        <v/>
      </c>
      <c r="G331" s="2">
        <f>IFERROR(VLOOKUP(E331,Courses!$A:$C,3,FALSE),0)</f>
        <v/>
      </c>
      <c r="H331" s="2" t="inlineStr">
        <is>
          <t>B-</t>
        </is>
      </c>
      <c r="I331" s="2" t="n">
        <v>80</v>
      </c>
      <c r="J331" s="2">
        <f>IFERROR(VLOOKUP(H331,'Grade Scale'!$A:$B,2,FALSE),0)</f>
        <v/>
      </c>
      <c r="K331" s="2">
        <f>J331*G331</f>
        <v/>
      </c>
      <c r="L331" s="2">
        <f>IF(H331="F",0,G331)</f>
        <v/>
      </c>
    </row>
    <row r="332">
      <c r="A332" s="2" t="inlineStr">
        <is>
          <t>m250304</t>
        </is>
      </c>
      <c r="B332" s="2">
        <f>IFERROR(VLOOKUP(A332,Students!$A:$B,2,FALSE),"")</f>
        <v/>
      </c>
      <c r="C332" s="2" t="inlineStr">
        <is>
          <t>Fall 2025</t>
        </is>
      </c>
      <c r="D332" s="2" t="inlineStr">
        <is>
          <t>Semester 1</t>
        </is>
      </c>
      <c r="E332" s="2" t="inlineStr">
        <is>
          <t>MBA 501</t>
        </is>
      </c>
      <c r="F332" s="2">
        <f>IFERROR(VLOOKUP(E332,Courses!$A:$C,2,FALSE),"")</f>
        <v/>
      </c>
      <c r="G332" s="2">
        <f>IFERROR(VLOOKUP(E332,Courses!$A:$C,3,FALSE),0)</f>
        <v/>
      </c>
      <c r="H332" s="2" t="inlineStr">
        <is>
          <t>B+</t>
        </is>
      </c>
      <c r="I332" s="2" t="n">
        <v>89</v>
      </c>
      <c r="J332" s="2">
        <f>IFERROR(VLOOKUP(H332,'Grade Scale'!$A:$B,2,FALSE),0)</f>
        <v/>
      </c>
      <c r="K332" s="2">
        <f>J332*G332</f>
        <v/>
      </c>
      <c r="L332" s="2">
        <f>IF(H332="F",0,G332)</f>
        <v/>
      </c>
    </row>
    <row r="333">
      <c r="A333" s="2" t="inlineStr">
        <is>
          <t>m250304</t>
        </is>
      </c>
      <c r="B333" s="2">
        <f>IFERROR(VLOOKUP(A333,Students!$A:$B,2,FALSE),"")</f>
        <v/>
      </c>
      <c r="C333" s="2" t="inlineStr">
        <is>
          <t>Fall 2025</t>
        </is>
      </c>
      <c r="D333" s="2" t="inlineStr">
        <is>
          <t>Semester 1</t>
        </is>
      </c>
      <c r="E333" s="2" t="inlineStr">
        <is>
          <t>MBA 510</t>
        </is>
      </c>
      <c r="F333" s="2">
        <f>IFERROR(VLOOKUP(E333,Courses!$A:$C,2,FALSE),"")</f>
        <v/>
      </c>
      <c r="G333" s="2">
        <f>IFERROR(VLOOKUP(E333,Courses!$A:$C,3,FALSE),0)</f>
        <v/>
      </c>
      <c r="H333" s="2" t="inlineStr">
        <is>
          <t>B+</t>
        </is>
      </c>
      <c r="I333" s="2" t="n">
        <v>88</v>
      </c>
      <c r="J333" s="2">
        <f>IFERROR(VLOOKUP(H333,'Grade Scale'!$A:$B,2,FALSE),0)</f>
        <v/>
      </c>
      <c r="K333" s="2">
        <f>J333*G333</f>
        <v/>
      </c>
      <c r="L333" s="2">
        <f>IF(H333="F",0,G333)</f>
        <v/>
      </c>
    </row>
    <row r="334">
      <c r="A334" s="2" t="inlineStr">
        <is>
          <t>m250304</t>
        </is>
      </c>
      <c r="B334" s="2">
        <f>IFERROR(VLOOKUP(A334,Students!$A:$B,2,FALSE),"")</f>
        <v/>
      </c>
      <c r="C334" s="2" t="inlineStr">
        <is>
          <t>Fall 2025</t>
        </is>
      </c>
      <c r="D334" s="2" t="inlineStr">
        <is>
          <t>Semester 1</t>
        </is>
      </c>
      <c r="E334" s="2" t="inlineStr">
        <is>
          <t>MBA 520</t>
        </is>
      </c>
      <c r="F334" s="2">
        <f>IFERROR(VLOOKUP(E334,Courses!$A:$C,2,FALSE),"")</f>
        <v/>
      </c>
      <c r="G334" s="2">
        <f>IFERROR(VLOOKUP(E334,Courses!$A:$C,3,FALSE),0)</f>
        <v/>
      </c>
      <c r="H334" s="2" t="inlineStr">
        <is>
          <t>A</t>
        </is>
      </c>
      <c r="I334" s="2" t="n">
        <v>96</v>
      </c>
      <c r="J334" s="2">
        <f>IFERROR(VLOOKUP(H334,'Grade Scale'!$A:$B,2,FALSE),0)</f>
        <v/>
      </c>
      <c r="K334" s="2">
        <f>J334*G334</f>
        <v/>
      </c>
      <c r="L334" s="2">
        <f>IF(H334="F",0,G334)</f>
        <v/>
      </c>
    </row>
    <row r="335">
      <c r="A335" s="2" t="inlineStr">
        <is>
          <t>m250304</t>
        </is>
      </c>
      <c r="B335" s="2">
        <f>IFERROR(VLOOKUP(A335,Students!$A:$B,2,FALSE),"")</f>
        <v/>
      </c>
      <c r="C335" s="2" t="inlineStr">
        <is>
          <t>Fall 2025</t>
        </is>
      </c>
      <c r="D335" s="2" t="inlineStr">
        <is>
          <t>Semester 1</t>
        </is>
      </c>
      <c r="E335" s="2" t="inlineStr">
        <is>
          <t>MBA 530</t>
        </is>
      </c>
      <c r="F335" s="2">
        <f>IFERROR(VLOOKUP(E335,Courses!$A:$C,2,FALSE),"")</f>
        <v/>
      </c>
      <c r="G335" s="2">
        <f>IFERROR(VLOOKUP(E335,Courses!$A:$C,3,FALSE),0)</f>
        <v/>
      </c>
      <c r="H335" s="2" t="inlineStr">
        <is>
          <t>B+</t>
        </is>
      </c>
      <c r="I335" s="2" t="n">
        <v>88</v>
      </c>
      <c r="J335" s="2">
        <f>IFERROR(VLOOKUP(H335,'Grade Scale'!$A:$B,2,FALSE),0)</f>
        <v/>
      </c>
      <c r="K335" s="2">
        <f>J335*G335</f>
        <v/>
      </c>
      <c r="L335" s="2">
        <f>IF(H335="F",0,G335)</f>
        <v/>
      </c>
    </row>
    <row r="336">
      <c r="A336" s="2" t="inlineStr">
        <is>
          <t>m250304</t>
        </is>
      </c>
      <c r="B336" s="2">
        <f>IFERROR(VLOOKUP(A336,Students!$A:$B,2,FALSE),"")</f>
        <v/>
      </c>
      <c r="C336" s="2" t="inlineStr">
        <is>
          <t>Fall 2025</t>
        </is>
      </c>
      <c r="D336" s="2" t="inlineStr">
        <is>
          <t>Semester 1</t>
        </is>
      </c>
      <c r="E336" s="2" t="inlineStr">
        <is>
          <t>MBA 540</t>
        </is>
      </c>
      <c r="F336" s="2">
        <f>IFERROR(VLOOKUP(E336,Courses!$A:$C,2,FALSE),"")</f>
        <v/>
      </c>
      <c r="G336" s="2">
        <f>IFERROR(VLOOKUP(E336,Courses!$A:$C,3,FALSE),0)</f>
        <v/>
      </c>
      <c r="H336" s="2" t="inlineStr">
        <is>
          <t>A</t>
        </is>
      </c>
      <c r="I336" s="2" t="n">
        <v>98</v>
      </c>
      <c r="J336" s="2">
        <f>IFERROR(VLOOKUP(H336,'Grade Scale'!$A:$B,2,FALSE),0)</f>
        <v/>
      </c>
      <c r="K336" s="2">
        <f>J336*G336</f>
        <v/>
      </c>
      <c r="L336" s="2">
        <f>IF(H336="F",0,G336)</f>
        <v/>
      </c>
    </row>
    <row r="337">
      <c r="A337" s="2" t="inlineStr">
        <is>
          <t>m250304</t>
        </is>
      </c>
      <c r="B337" s="2">
        <f>IFERROR(VLOOKUP(A337,Students!$A:$B,2,FALSE),"")</f>
        <v/>
      </c>
      <c r="C337" s="2" t="inlineStr">
        <is>
          <t>Spring 2026</t>
        </is>
      </c>
      <c r="D337" s="2" t="inlineStr">
        <is>
          <t>Semester 2</t>
        </is>
      </c>
      <c r="E337" s="2" t="inlineStr">
        <is>
          <t>MBA 550</t>
        </is>
      </c>
      <c r="F337" s="2">
        <f>IFERROR(VLOOKUP(E337,Courses!$A:$C,2,FALSE),"")</f>
        <v/>
      </c>
      <c r="G337" s="2">
        <f>IFERROR(VLOOKUP(E337,Courses!$A:$C,3,FALSE),0)</f>
        <v/>
      </c>
      <c r="H337" s="2" t="inlineStr">
        <is>
          <t>B+</t>
        </is>
      </c>
      <c r="I337" s="2" t="n">
        <v>87</v>
      </c>
      <c r="J337" s="2">
        <f>IFERROR(VLOOKUP(H337,'Grade Scale'!$A:$B,2,FALSE),0)</f>
        <v/>
      </c>
      <c r="K337" s="2">
        <f>J337*G337</f>
        <v/>
      </c>
      <c r="L337" s="2">
        <f>IF(H337="F",0,G337)</f>
        <v/>
      </c>
    </row>
    <row r="338">
      <c r="A338" s="2" t="inlineStr">
        <is>
          <t>m250304</t>
        </is>
      </c>
      <c r="B338" s="2">
        <f>IFERROR(VLOOKUP(A338,Students!$A:$B,2,FALSE),"")</f>
        <v/>
      </c>
      <c r="C338" s="2" t="inlineStr">
        <is>
          <t>Spring 2026</t>
        </is>
      </c>
      <c r="D338" s="2" t="inlineStr">
        <is>
          <t>Semester 2</t>
        </is>
      </c>
      <c r="E338" s="2" t="inlineStr">
        <is>
          <t>MBA 560</t>
        </is>
      </c>
      <c r="F338" s="2">
        <f>IFERROR(VLOOKUP(E338,Courses!$A:$C,2,FALSE),"")</f>
        <v/>
      </c>
      <c r="G338" s="2">
        <f>IFERROR(VLOOKUP(E338,Courses!$A:$C,3,FALSE),0)</f>
        <v/>
      </c>
      <c r="H338" s="2" t="inlineStr">
        <is>
          <t>A</t>
        </is>
      </c>
      <c r="I338" s="2" t="n">
        <v>98</v>
      </c>
      <c r="J338" s="2">
        <f>IFERROR(VLOOKUP(H338,'Grade Scale'!$A:$B,2,FALSE),0)</f>
        <v/>
      </c>
      <c r="K338" s="2">
        <f>J338*G338</f>
        <v/>
      </c>
      <c r="L338" s="2">
        <f>IF(H338="F",0,G338)</f>
        <v/>
      </c>
    </row>
    <row r="339">
      <c r="A339" s="2" t="inlineStr">
        <is>
          <t>m250304</t>
        </is>
      </c>
      <c r="B339" s="2">
        <f>IFERROR(VLOOKUP(A339,Students!$A:$B,2,FALSE),"")</f>
        <v/>
      </c>
      <c r="C339" s="2" t="inlineStr">
        <is>
          <t>Spring 2026</t>
        </is>
      </c>
      <c r="D339" s="2" t="inlineStr">
        <is>
          <t>Semester 2</t>
        </is>
      </c>
      <c r="E339" s="2" t="inlineStr">
        <is>
          <t>MBA 570</t>
        </is>
      </c>
      <c r="F339" s="2">
        <f>IFERROR(VLOOKUP(E339,Courses!$A:$C,2,FALSE),"")</f>
        <v/>
      </c>
      <c r="G339" s="2">
        <f>IFERROR(VLOOKUP(E339,Courses!$A:$C,3,FALSE),0)</f>
        <v/>
      </c>
      <c r="H339" s="2" t="inlineStr">
        <is>
          <t>C+</t>
        </is>
      </c>
      <c r="I339" s="2" t="n">
        <v>79</v>
      </c>
      <c r="J339" s="2">
        <f>IFERROR(VLOOKUP(H339,'Grade Scale'!$A:$B,2,FALSE),0)</f>
        <v/>
      </c>
      <c r="K339" s="2">
        <f>J339*G339</f>
        <v/>
      </c>
      <c r="L339" s="2">
        <f>IF(H339="F",0,G339)</f>
        <v/>
      </c>
    </row>
    <row r="340">
      <c r="A340" s="2" t="inlineStr">
        <is>
          <t>m250304</t>
        </is>
      </c>
      <c r="B340" s="2">
        <f>IFERROR(VLOOKUP(A340,Students!$A:$B,2,FALSE),"")</f>
        <v/>
      </c>
      <c r="C340" s="2" t="inlineStr">
        <is>
          <t>Spring 2026</t>
        </is>
      </c>
      <c r="D340" s="2" t="inlineStr">
        <is>
          <t>Semester 2</t>
        </is>
      </c>
      <c r="E340" s="2" t="inlineStr">
        <is>
          <t>MBA 580</t>
        </is>
      </c>
      <c r="F340" s="2">
        <f>IFERROR(VLOOKUP(E340,Courses!$A:$C,2,FALSE),"")</f>
        <v/>
      </c>
      <c r="G340" s="2">
        <f>IFERROR(VLOOKUP(E340,Courses!$A:$C,3,FALSE),0)</f>
        <v/>
      </c>
      <c r="H340" s="2" t="inlineStr">
        <is>
          <t>A</t>
        </is>
      </c>
      <c r="I340" s="2" t="n">
        <v>94</v>
      </c>
      <c r="J340" s="2">
        <f>IFERROR(VLOOKUP(H340,'Grade Scale'!$A:$B,2,FALSE),0)</f>
        <v/>
      </c>
      <c r="K340" s="2">
        <f>J340*G340</f>
        <v/>
      </c>
      <c r="L340" s="2">
        <f>IF(H340="F",0,G340)</f>
        <v/>
      </c>
    </row>
    <row r="341">
      <c r="A341" s="2" t="inlineStr">
        <is>
          <t>m250304</t>
        </is>
      </c>
      <c r="B341" s="2">
        <f>IFERROR(VLOOKUP(A341,Students!$A:$B,2,FALSE),"")</f>
        <v/>
      </c>
      <c r="C341" s="2" t="inlineStr">
        <is>
          <t>Spring 2026</t>
        </is>
      </c>
      <c r="D341" s="2" t="inlineStr">
        <is>
          <t>Semester 2</t>
        </is>
      </c>
      <c r="E341" s="2" t="inlineStr">
        <is>
          <t>MBA 590</t>
        </is>
      </c>
      <c r="F341" s="2">
        <f>IFERROR(VLOOKUP(E341,Courses!$A:$C,2,FALSE),"")</f>
        <v/>
      </c>
      <c r="G341" s="2">
        <f>IFERROR(VLOOKUP(E341,Courses!$A:$C,3,FALSE),0)</f>
        <v/>
      </c>
      <c r="H341" s="2" t="inlineStr">
        <is>
          <t>B</t>
        </is>
      </c>
      <c r="I341" s="2" t="n">
        <v>86</v>
      </c>
      <c r="J341" s="2">
        <f>IFERROR(VLOOKUP(H341,'Grade Scale'!$A:$B,2,FALSE),0)</f>
        <v/>
      </c>
      <c r="K341" s="2">
        <f>J341*G341</f>
        <v/>
      </c>
      <c r="L341" s="2">
        <f>IF(H341="F",0,G341)</f>
        <v/>
      </c>
    </row>
    <row r="342">
      <c r="A342" s="2" t="inlineStr">
        <is>
          <t>m250305</t>
        </is>
      </c>
      <c r="B342" s="2">
        <f>IFERROR(VLOOKUP(A342,Students!$A:$B,2,FALSE),"")</f>
        <v/>
      </c>
      <c r="C342" s="2" t="inlineStr">
        <is>
          <t>Fall 2025</t>
        </is>
      </c>
      <c r="D342" s="2" t="inlineStr">
        <is>
          <t>Semester 1</t>
        </is>
      </c>
      <c r="E342" s="2" t="inlineStr">
        <is>
          <t>DSC 501</t>
        </is>
      </c>
      <c r="F342" s="2">
        <f>IFERROR(VLOOKUP(E342,Courses!$A:$C,2,FALSE),"")</f>
        <v/>
      </c>
      <c r="G342" s="2">
        <f>IFERROR(VLOOKUP(E342,Courses!$A:$C,3,FALSE),0)</f>
        <v/>
      </c>
      <c r="H342" s="2" t="inlineStr">
        <is>
          <t>A-</t>
        </is>
      </c>
      <c r="I342" s="2" t="n">
        <v>91</v>
      </c>
      <c r="J342" s="2">
        <f>IFERROR(VLOOKUP(H342,'Grade Scale'!$A:$B,2,FALSE),0)</f>
        <v/>
      </c>
      <c r="K342" s="2">
        <f>J342*G342</f>
        <v/>
      </c>
      <c r="L342" s="2">
        <f>IF(H342="F",0,G342)</f>
        <v/>
      </c>
    </row>
    <row r="343">
      <c r="A343" s="2" t="inlineStr">
        <is>
          <t>m250305</t>
        </is>
      </c>
      <c r="B343" s="2">
        <f>IFERROR(VLOOKUP(A343,Students!$A:$B,2,FALSE),"")</f>
        <v/>
      </c>
      <c r="C343" s="2" t="inlineStr">
        <is>
          <t>Fall 2025</t>
        </is>
      </c>
      <c r="D343" s="2" t="inlineStr">
        <is>
          <t>Semester 1</t>
        </is>
      </c>
      <c r="E343" s="2" t="inlineStr">
        <is>
          <t>DSC 510</t>
        </is>
      </c>
      <c r="F343" s="2">
        <f>IFERROR(VLOOKUP(E343,Courses!$A:$C,2,FALSE),"")</f>
        <v/>
      </c>
      <c r="G343" s="2">
        <f>IFERROR(VLOOKUP(E343,Courses!$A:$C,3,FALSE),0)</f>
        <v/>
      </c>
      <c r="H343" s="2" t="inlineStr">
        <is>
          <t>C</t>
        </is>
      </c>
      <c r="I343" s="2" t="n">
        <v>74</v>
      </c>
      <c r="J343" s="2">
        <f>IFERROR(VLOOKUP(H343,'Grade Scale'!$A:$B,2,FALSE),0)</f>
        <v/>
      </c>
      <c r="K343" s="2">
        <f>J343*G343</f>
        <v/>
      </c>
      <c r="L343" s="2">
        <f>IF(H343="F",0,G343)</f>
        <v/>
      </c>
    </row>
    <row r="344">
      <c r="A344" s="2" t="inlineStr">
        <is>
          <t>m250305</t>
        </is>
      </c>
      <c r="B344" s="2">
        <f>IFERROR(VLOOKUP(A344,Students!$A:$B,2,FALSE),"")</f>
        <v/>
      </c>
      <c r="C344" s="2" t="inlineStr">
        <is>
          <t>Fall 2025</t>
        </is>
      </c>
      <c r="D344" s="2" t="inlineStr">
        <is>
          <t>Semester 1</t>
        </is>
      </c>
      <c r="E344" s="2" t="inlineStr">
        <is>
          <t>DSC 520</t>
        </is>
      </c>
      <c r="F344" s="2">
        <f>IFERROR(VLOOKUP(E344,Courses!$A:$C,2,FALSE),"")</f>
        <v/>
      </c>
      <c r="G344" s="2">
        <f>IFERROR(VLOOKUP(E344,Courses!$A:$C,3,FALSE),0)</f>
        <v/>
      </c>
      <c r="H344" s="2" t="inlineStr">
        <is>
          <t>C+</t>
        </is>
      </c>
      <c r="I344" s="2" t="n">
        <v>77</v>
      </c>
      <c r="J344" s="2">
        <f>IFERROR(VLOOKUP(H344,'Grade Scale'!$A:$B,2,FALSE),0)</f>
        <v/>
      </c>
      <c r="K344" s="2">
        <f>J344*G344</f>
        <v/>
      </c>
      <c r="L344" s="2">
        <f>IF(H344="F",0,G344)</f>
        <v/>
      </c>
    </row>
    <row r="345">
      <c r="A345" s="2" t="inlineStr">
        <is>
          <t>m250305</t>
        </is>
      </c>
      <c r="B345" s="2">
        <f>IFERROR(VLOOKUP(A345,Students!$A:$B,2,FALSE),"")</f>
        <v/>
      </c>
      <c r="C345" s="2" t="inlineStr">
        <is>
          <t>Fall 2025</t>
        </is>
      </c>
      <c r="D345" s="2" t="inlineStr">
        <is>
          <t>Semester 1</t>
        </is>
      </c>
      <c r="E345" s="2" t="inlineStr">
        <is>
          <t>DSC 530</t>
        </is>
      </c>
      <c r="F345" s="2">
        <f>IFERROR(VLOOKUP(E345,Courses!$A:$C,2,FALSE),"")</f>
        <v/>
      </c>
      <c r="G345" s="2">
        <f>IFERROR(VLOOKUP(E345,Courses!$A:$C,3,FALSE),0)</f>
        <v/>
      </c>
      <c r="H345" s="2" t="inlineStr">
        <is>
          <t>B+</t>
        </is>
      </c>
      <c r="I345" s="2" t="n">
        <v>87</v>
      </c>
      <c r="J345" s="2">
        <f>IFERROR(VLOOKUP(H345,'Grade Scale'!$A:$B,2,FALSE),0)</f>
        <v/>
      </c>
      <c r="K345" s="2">
        <f>J345*G345</f>
        <v/>
      </c>
      <c r="L345" s="2">
        <f>IF(H345="F",0,G345)</f>
        <v/>
      </c>
    </row>
    <row r="346">
      <c r="A346" s="2" t="inlineStr">
        <is>
          <t>m250305</t>
        </is>
      </c>
      <c r="B346" s="2">
        <f>IFERROR(VLOOKUP(A346,Students!$A:$B,2,FALSE),"")</f>
        <v/>
      </c>
      <c r="C346" s="2" t="inlineStr">
        <is>
          <t>Fall 2025</t>
        </is>
      </c>
      <c r="D346" s="2" t="inlineStr">
        <is>
          <t>Semester 1</t>
        </is>
      </c>
      <c r="E346" s="2" t="inlineStr">
        <is>
          <t>DSC 540</t>
        </is>
      </c>
      <c r="F346" s="2">
        <f>IFERROR(VLOOKUP(E346,Courses!$A:$C,2,FALSE),"")</f>
        <v/>
      </c>
      <c r="G346" s="2">
        <f>IFERROR(VLOOKUP(E346,Courses!$A:$C,3,FALSE),0)</f>
        <v/>
      </c>
      <c r="H346" s="2" t="inlineStr">
        <is>
          <t>C</t>
        </is>
      </c>
      <c r="I346" s="2" t="n">
        <v>74</v>
      </c>
      <c r="J346" s="2">
        <f>IFERROR(VLOOKUP(H346,'Grade Scale'!$A:$B,2,FALSE),0)</f>
        <v/>
      </c>
      <c r="K346" s="2">
        <f>J346*G346</f>
        <v/>
      </c>
      <c r="L346" s="2">
        <f>IF(H346="F",0,G346)</f>
        <v/>
      </c>
    </row>
    <row r="347">
      <c r="A347" s="2" t="inlineStr">
        <is>
          <t>m250305</t>
        </is>
      </c>
      <c r="B347" s="2">
        <f>IFERROR(VLOOKUP(A347,Students!$A:$B,2,FALSE),"")</f>
        <v/>
      </c>
      <c r="C347" s="2" t="inlineStr">
        <is>
          <t>Spring 2026</t>
        </is>
      </c>
      <c r="D347" s="2" t="inlineStr">
        <is>
          <t>Semester 2</t>
        </is>
      </c>
      <c r="E347" s="2" t="inlineStr">
        <is>
          <t>DSC 550</t>
        </is>
      </c>
      <c r="F347" s="2">
        <f>IFERROR(VLOOKUP(E347,Courses!$A:$C,2,FALSE),"")</f>
        <v/>
      </c>
      <c r="G347" s="2">
        <f>IFERROR(VLOOKUP(E347,Courses!$A:$C,3,FALSE),0)</f>
        <v/>
      </c>
      <c r="H347" s="2" t="inlineStr">
        <is>
          <t>C+</t>
        </is>
      </c>
      <c r="I347" s="2" t="n">
        <v>79</v>
      </c>
      <c r="J347" s="2">
        <f>IFERROR(VLOOKUP(H347,'Grade Scale'!$A:$B,2,FALSE),0)</f>
        <v/>
      </c>
      <c r="K347" s="2">
        <f>J347*G347</f>
        <v/>
      </c>
      <c r="L347" s="2">
        <f>IF(H347="F",0,G347)</f>
        <v/>
      </c>
    </row>
    <row r="348">
      <c r="A348" s="2" t="inlineStr">
        <is>
          <t>m250305</t>
        </is>
      </c>
      <c r="B348" s="2">
        <f>IFERROR(VLOOKUP(A348,Students!$A:$B,2,FALSE),"")</f>
        <v/>
      </c>
      <c r="C348" s="2" t="inlineStr">
        <is>
          <t>Spring 2026</t>
        </is>
      </c>
      <c r="D348" s="2" t="inlineStr">
        <is>
          <t>Semester 2</t>
        </is>
      </c>
      <c r="E348" s="2" t="inlineStr">
        <is>
          <t>DSC 560</t>
        </is>
      </c>
      <c r="F348" s="2">
        <f>IFERROR(VLOOKUP(E348,Courses!$A:$C,2,FALSE),"")</f>
        <v/>
      </c>
      <c r="G348" s="2">
        <f>IFERROR(VLOOKUP(E348,Courses!$A:$C,3,FALSE),0)</f>
        <v/>
      </c>
      <c r="H348" s="2" t="inlineStr">
        <is>
          <t>C-</t>
        </is>
      </c>
      <c r="I348" s="2" t="n">
        <v>71</v>
      </c>
      <c r="J348" s="2">
        <f>IFERROR(VLOOKUP(H348,'Grade Scale'!$A:$B,2,FALSE),0)</f>
        <v/>
      </c>
      <c r="K348" s="2">
        <f>J348*G348</f>
        <v/>
      </c>
      <c r="L348" s="2">
        <f>IF(H348="F",0,G348)</f>
        <v/>
      </c>
    </row>
    <row r="349">
      <c r="A349" s="2" t="inlineStr">
        <is>
          <t>m250305</t>
        </is>
      </c>
      <c r="B349" s="2">
        <f>IFERROR(VLOOKUP(A349,Students!$A:$B,2,FALSE),"")</f>
        <v/>
      </c>
      <c r="C349" s="2" t="inlineStr">
        <is>
          <t>Spring 2026</t>
        </is>
      </c>
      <c r="D349" s="2" t="inlineStr">
        <is>
          <t>Semester 2</t>
        </is>
      </c>
      <c r="E349" s="2" t="inlineStr">
        <is>
          <t>DSC 570</t>
        </is>
      </c>
      <c r="F349" s="2">
        <f>IFERROR(VLOOKUP(E349,Courses!$A:$C,2,FALSE),"")</f>
        <v/>
      </c>
      <c r="G349" s="2">
        <f>IFERROR(VLOOKUP(E349,Courses!$A:$C,3,FALSE),0)</f>
        <v/>
      </c>
      <c r="H349" s="2" t="inlineStr">
        <is>
          <t>B</t>
        </is>
      </c>
      <c r="I349" s="2" t="n">
        <v>83</v>
      </c>
      <c r="J349" s="2">
        <f>IFERROR(VLOOKUP(H349,'Grade Scale'!$A:$B,2,FALSE),0)</f>
        <v/>
      </c>
      <c r="K349" s="2">
        <f>J349*G349</f>
        <v/>
      </c>
      <c r="L349" s="2">
        <f>IF(H349="F",0,G349)</f>
        <v/>
      </c>
    </row>
    <row r="350">
      <c r="A350" s="2" t="inlineStr">
        <is>
          <t>m250305</t>
        </is>
      </c>
      <c r="B350" s="2">
        <f>IFERROR(VLOOKUP(A350,Students!$A:$B,2,FALSE),"")</f>
        <v/>
      </c>
      <c r="C350" s="2" t="inlineStr">
        <is>
          <t>Spring 2026</t>
        </is>
      </c>
      <c r="D350" s="2" t="inlineStr">
        <is>
          <t>Semester 2</t>
        </is>
      </c>
      <c r="E350" s="2" t="inlineStr">
        <is>
          <t>DSC 580</t>
        </is>
      </c>
      <c r="F350" s="2">
        <f>IFERROR(VLOOKUP(E350,Courses!$A:$C,2,FALSE),"")</f>
        <v/>
      </c>
      <c r="G350" s="2">
        <f>IFERROR(VLOOKUP(E350,Courses!$A:$C,3,FALSE),0)</f>
        <v/>
      </c>
      <c r="H350" s="2" t="inlineStr">
        <is>
          <t>C-</t>
        </is>
      </c>
      <c r="I350" s="2" t="n">
        <v>70</v>
      </c>
      <c r="J350" s="2">
        <f>IFERROR(VLOOKUP(H350,'Grade Scale'!$A:$B,2,FALSE),0)</f>
        <v/>
      </c>
      <c r="K350" s="2">
        <f>J350*G350</f>
        <v/>
      </c>
      <c r="L350" s="2">
        <f>IF(H350="F",0,G350)</f>
        <v/>
      </c>
    </row>
    <row r="351">
      <c r="A351" s="2" t="inlineStr">
        <is>
          <t>m250305</t>
        </is>
      </c>
      <c r="B351" s="2">
        <f>IFERROR(VLOOKUP(A351,Students!$A:$B,2,FALSE),"")</f>
        <v/>
      </c>
      <c r="C351" s="2" t="inlineStr">
        <is>
          <t>Spring 2026</t>
        </is>
      </c>
      <c r="D351" s="2" t="inlineStr">
        <is>
          <t>Semester 2</t>
        </is>
      </c>
      <c r="E351" s="2" t="inlineStr">
        <is>
          <t>DSC 590</t>
        </is>
      </c>
      <c r="F351" s="2">
        <f>IFERROR(VLOOKUP(E351,Courses!$A:$C,2,FALSE),"")</f>
        <v/>
      </c>
      <c r="G351" s="2">
        <f>IFERROR(VLOOKUP(E351,Courses!$A:$C,3,FALSE),0)</f>
        <v/>
      </c>
      <c r="H351" s="2" t="inlineStr">
        <is>
          <t>C</t>
        </is>
      </c>
      <c r="I351" s="2" t="n">
        <v>74</v>
      </c>
      <c r="J351" s="2">
        <f>IFERROR(VLOOKUP(H351,'Grade Scale'!$A:$B,2,FALSE),0)</f>
        <v/>
      </c>
      <c r="K351" s="2">
        <f>J351*G351</f>
        <v/>
      </c>
      <c r="L351" s="2">
        <f>IF(H351="F",0,G351)</f>
        <v/>
      </c>
    </row>
    <row r="352">
      <c r="A352" s="2" t="inlineStr">
        <is>
          <t>m250306</t>
        </is>
      </c>
      <c r="B352" s="2">
        <f>IFERROR(VLOOKUP(A352,Students!$A:$B,2,FALSE),"")</f>
        <v/>
      </c>
      <c r="C352" s="2" t="inlineStr">
        <is>
          <t>Fall 2025</t>
        </is>
      </c>
      <c r="D352" s="2" t="inlineStr">
        <is>
          <t>Semester 1</t>
        </is>
      </c>
      <c r="E352" s="2" t="inlineStr">
        <is>
          <t>CIV 101</t>
        </is>
      </c>
      <c r="F352" s="2">
        <f>IFERROR(VLOOKUP(E352,Courses!$A:$C,2,FALSE),"")</f>
        <v/>
      </c>
      <c r="G352" s="2">
        <f>IFERROR(VLOOKUP(E352,Courses!$A:$C,3,FALSE),0)</f>
        <v/>
      </c>
      <c r="H352" s="2" t="inlineStr">
        <is>
          <t>B+</t>
        </is>
      </c>
      <c r="I352" s="2" t="n">
        <v>88</v>
      </c>
      <c r="J352" s="2">
        <f>IFERROR(VLOOKUP(H352,'Grade Scale'!$A:$B,2,FALSE),0)</f>
        <v/>
      </c>
      <c r="K352" s="2">
        <f>J352*G352</f>
        <v/>
      </c>
      <c r="L352" s="2">
        <f>IF(H352="F",0,G352)</f>
        <v/>
      </c>
    </row>
    <row r="353">
      <c r="A353" s="2" t="inlineStr">
        <is>
          <t>m250306</t>
        </is>
      </c>
      <c r="B353" s="2">
        <f>IFERROR(VLOOKUP(A353,Students!$A:$B,2,FALSE),"")</f>
        <v/>
      </c>
      <c r="C353" s="2" t="inlineStr">
        <is>
          <t>Fall 2025</t>
        </is>
      </c>
      <c r="D353" s="2" t="inlineStr">
        <is>
          <t>Semester 1</t>
        </is>
      </c>
      <c r="E353" s="2" t="inlineStr">
        <is>
          <t>MTH 120</t>
        </is>
      </c>
      <c r="F353" s="2">
        <f>IFERROR(VLOOKUP(E353,Courses!$A:$C,2,FALSE),"")</f>
        <v/>
      </c>
      <c r="G353" s="2">
        <f>IFERROR(VLOOKUP(E353,Courses!$A:$C,3,FALSE),0)</f>
        <v/>
      </c>
      <c r="H353" s="2" t="inlineStr">
        <is>
          <t>C+</t>
        </is>
      </c>
      <c r="I353" s="2" t="n">
        <v>78</v>
      </c>
      <c r="J353" s="2">
        <f>IFERROR(VLOOKUP(H353,'Grade Scale'!$A:$B,2,FALSE),0)</f>
        <v/>
      </c>
      <c r="K353" s="2">
        <f>J353*G353</f>
        <v/>
      </c>
      <c r="L353" s="2">
        <f>IF(H353="F",0,G353)</f>
        <v/>
      </c>
    </row>
    <row r="354">
      <c r="A354" s="2" t="inlineStr">
        <is>
          <t>m250306</t>
        </is>
      </c>
      <c r="B354" s="2">
        <f>IFERROR(VLOOKUP(A354,Students!$A:$B,2,FALSE),"")</f>
        <v/>
      </c>
      <c r="C354" s="2" t="inlineStr">
        <is>
          <t>Fall 2025</t>
        </is>
      </c>
      <c r="D354" s="2" t="inlineStr">
        <is>
          <t>Semester 1</t>
        </is>
      </c>
      <c r="E354" s="2" t="inlineStr">
        <is>
          <t>PHY 101</t>
        </is>
      </c>
      <c r="F354" s="2">
        <f>IFERROR(VLOOKUP(E354,Courses!$A:$C,2,FALSE),"")</f>
        <v/>
      </c>
      <c r="G354" s="2">
        <f>IFERROR(VLOOKUP(E354,Courses!$A:$C,3,FALSE),0)</f>
        <v/>
      </c>
      <c r="H354" s="2" t="inlineStr">
        <is>
          <t>B+</t>
        </is>
      </c>
      <c r="I354" s="2" t="n">
        <v>89</v>
      </c>
      <c r="J354" s="2">
        <f>IFERROR(VLOOKUP(H354,'Grade Scale'!$A:$B,2,FALSE),0)</f>
        <v/>
      </c>
      <c r="K354" s="2">
        <f>J354*G354</f>
        <v/>
      </c>
      <c r="L354" s="2">
        <f>IF(H354="F",0,G354)</f>
        <v/>
      </c>
    </row>
    <row r="355">
      <c r="A355" s="2" t="inlineStr">
        <is>
          <t>m250306</t>
        </is>
      </c>
      <c r="B355" s="2">
        <f>IFERROR(VLOOKUP(A355,Students!$A:$B,2,FALSE),"")</f>
        <v/>
      </c>
      <c r="C355" s="2" t="inlineStr">
        <is>
          <t>Fall 2025</t>
        </is>
      </c>
      <c r="D355" s="2" t="inlineStr">
        <is>
          <t>Semester 1</t>
        </is>
      </c>
      <c r="E355" s="2" t="inlineStr">
        <is>
          <t>ENG 101</t>
        </is>
      </c>
      <c r="F355" s="2">
        <f>IFERROR(VLOOKUP(E355,Courses!$A:$C,2,FALSE),"")</f>
        <v/>
      </c>
      <c r="G355" s="2">
        <f>IFERROR(VLOOKUP(E355,Courses!$A:$C,3,FALSE),0)</f>
        <v/>
      </c>
      <c r="H355" s="2" t="inlineStr">
        <is>
          <t>A</t>
        </is>
      </c>
      <c r="I355" s="2" t="n">
        <v>94</v>
      </c>
      <c r="J355" s="2">
        <f>IFERROR(VLOOKUP(H355,'Grade Scale'!$A:$B,2,FALSE),0)</f>
        <v/>
      </c>
      <c r="K355" s="2">
        <f>J355*G355</f>
        <v/>
      </c>
      <c r="L355" s="2">
        <f>IF(H355="F",0,G355)</f>
        <v/>
      </c>
    </row>
    <row r="356">
      <c r="A356" s="2" t="inlineStr">
        <is>
          <t>m250306</t>
        </is>
      </c>
      <c r="B356" s="2">
        <f>IFERROR(VLOOKUP(A356,Students!$A:$B,2,FALSE),"")</f>
        <v/>
      </c>
      <c r="C356" s="2" t="inlineStr">
        <is>
          <t>Fall 2025</t>
        </is>
      </c>
      <c r="D356" s="2" t="inlineStr">
        <is>
          <t>Semester 1</t>
        </is>
      </c>
      <c r="E356" s="2" t="inlineStr">
        <is>
          <t>CHM 101</t>
        </is>
      </c>
      <c r="F356" s="2">
        <f>IFERROR(VLOOKUP(E356,Courses!$A:$C,2,FALSE),"")</f>
        <v/>
      </c>
      <c r="G356" s="2">
        <f>IFERROR(VLOOKUP(E356,Courses!$A:$C,3,FALSE),0)</f>
        <v/>
      </c>
      <c r="H356" s="2" t="inlineStr">
        <is>
          <t>A</t>
        </is>
      </c>
      <c r="I356" s="2" t="n">
        <v>93</v>
      </c>
      <c r="J356" s="2">
        <f>IFERROR(VLOOKUP(H356,'Grade Scale'!$A:$B,2,FALSE),0)</f>
        <v/>
      </c>
      <c r="K356" s="2">
        <f>J356*G356</f>
        <v/>
      </c>
      <c r="L356" s="2">
        <f>IF(H356="F",0,G356)</f>
        <v/>
      </c>
    </row>
    <row r="357">
      <c r="A357" s="2" t="inlineStr">
        <is>
          <t>m250306</t>
        </is>
      </c>
      <c r="B357" s="2">
        <f>IFERROR(VLOOKUP(A357,Students!$A:$B,2,FALSE),"")</f>
        <v/>
      </c>
      <c r="C357" s="2" t="inlineStr">
        <is>
          <t>Spring 2026</t>
        </is>
      </c>
      <c r="D357" s="2" t="inlineStr">
        <is>
          <t>Semester 2</t>
        </is>
      </c>
      <c r="E357" s="2" t="inlineStr">
        <is>
          <t>CIV 150</t>
        </is>
      </c>
      <c r="F357" s="2">
        <f>IFERROR(VLOOKUP(E357,Courses!$A:$C,2,FALSE),"")</f>
        <v/>
      </c>
      <c r="G357" s="2">
        <f>IFERROR(VLOOKUP(E357,Courses!$A:$C,3,FALSE),0)</f>
        <v/>
      </c>
      <c r="H357" s="2" t="inlineStr">
        <is>
          <t>A</t>
        </is>
      </c>
      <c r="I357" s="2" t="n">
        <v>96</v>
      </c>
      <c r="J357" s="2">
        <f>IFERROR(VLOOKUP(H357,'Grade Scale'!$A:$B,2,FALSE),0)</f>
        <v/>
      </c>
      <c r="K357" s="2">
        <f>J357*G357</f>
        <v/>
      </c>
      <c r="L357" s="2">
        <f>IF(H357="F",0,G357)</f>
        <v/>
      </c>
    </row>
    <row r="358">
      <c r="A358" s="2" t="inlineStr">
        <is>
          <t>m250306</t>
        </is>
      </c>
      <c r="B358" s="2">
        <f>IFERROR(VLOOKUP(A358,Students!$A:$B,2,FALSE),"")</f>
        <v/>
      </c>
      <c r="C358" s="2" t="inlineStr">
        <is>
          <t>Spring 2026</t>
        </is>
      </c>
      <c r="D358" s="2" t="inlineStr">
        <is>
          <t>Semester 2</t>
        </is>
      </c>
      <c r="E358" s="2" t="inlineStr">
        <is>
          <t>MTH 140</t>
        </is>
      </c>
      <c r="F358" s="2">
        <f>IFERROR(VLOOKUP(E358,Courses!$A:$C,2,FALSE),"")</f>
        <v/>
      </c>
      <c r="G358" s="2">
        <f>IFERROR(VLOOKUP(E358,Courses!$A:$C,3,FALSE),0)</f>
        <v/>
      </c>
      <c r="H358" s="2" t="inlineStr">
        <is>
          <t>A</t>
        </is>
      </c>
      <c r="I358" s="2" t="n">
        <v>96</v>
      </c>
      <c r="J358" s="2">
        <f>IFERROR(VLOOKUP(H358,'Grade Scale'!$A:$B,2,FALSE),0)</f>
        <v/>
      </c>
      <c r="K358" s="2">
        <f>J358*G358</f>
        <v/>
      </c>
      <c r="L358" s="2">
        <f>IF(H358="F",0,G358)</f>
        <v/>
      </c>
    </row>
    <row r="359">
      <c r="A359" s="2" t="inlineStr">
        <is>
          <t>m250306</t>
        </is>
      </c>
      <c r="B359" s="2">
        <f>IFERROR(VLOOKUP(A359,Students!$A:$B,2,FALSE),"")</f>
        <v/>
      </c>
      <c r="C359" s="2" t="inlineStr">
        <is>
          <t>Spring 2026</t>
        </is>
      </c>
      <c r="D359" s="2" t="inlineStr">
        <is>
          <t>Semester 2</t>
        </is>
      </c>
      <c r="E359" s="2" t="inlineStr">
        <is>
          <t>PHY 102</t>
        </is>
      </c>
      <c r="F359" s="2">
        <f>IFERROR(VLOOKUP(E359,Courses!$A:$C,2,FALSE),"")</f>
        <v/>
      </c>
      <c r="G359" s="2">
        <f>IFERROR(VLOOKUP(E359,Courses!$A:$C,3,FALSE),0)</f>
        <v/>
      </c>
      <c r="H359" s="2" t="inlineStr">
        <is>
          <t>B</t>
        </is>
      </c>
      <c r="I359" s="2" t="n">
        <v>83</v>
      </c>
      <c r="J359" s="2">
        <f>IFERROR(VLOOKUP(H359,'Grade Scale'!$A:$B,2,FALSE),0)</f>
        <v/>
      </c>
      <c r="K359" s="2">
        <f>J359*G359</f>
        <v/>
      </c>
      <c r="L359" s="2">
        <f>IF(H359="F",0,G359)</f>
        <v/>
      </c>
    </row>
    <row r="360">
      <c r="A360" s="2" t="inlineStr">
        <is>
          <t>m250306</t>
        </is>
      </c>
      <c r="B360" s="2">
        <f>IFERROR(VLOOKUP(A360,Students!$A:$B,2,FALSE),"")</f>
        <v/>
      </c>
      <c r="C360" s="2" t="inlineStr">
        <is>
          <t>Spring 2026</t>
        </is>
      </c>
      <c r="D360" s="2" t="inlineStr">
        <is>
          <t>Semester 2</t>
        </is>
      </c>
      <c r="E360" s="2" t="inlineStr">
        <is>
          <t>ENG 102</t>
        </is>
      </c>
      <c r="F360" s="2">
        <f>IFERROR(VLOOKUP(E360,Courses!$A:$C,2,FALSE),"")</f>
        <v/>
      </c>
      <c r="G360" s="2">
        <f>IFERROR(VLOOKUP(E360,Courses!$A:$C,3,FALSE),0)</f>
        <v/>
      </c>
      <c r="H360" s="2" t="inlineStr">
        <is>
          <t>A-</t>
        </is>
      </c>
      <c r="I360" s="2" t="n">
        <v>91</v>
      </c>
      <c r="J360" s="2">
        <f>IFERROR(VLOOKUP(H360,'Grade Scale'!$A:$B,2,FALSE),0)</f>
        <v/>
      </c>
      <c r="K360" s="2">
        <f>J360*G360</f>
        <v/>
      </c>
      <c r="L360" s="2">
        <f>IF(H360="F",0,G360)</f>
        <v/>
      </c>
    </row>
    <row r="361">
      <c r="A361" s="2" t="inlineStr">
        <is>
          <t>m250306</t>
        </is>
      </c>
      <c r="B361" s="2">
        <f>IFERROR(VLOOKUP(A361,Students!$A:$B,2,FALSE),"")</f>
        <v/>
      </c>
      <c r="C361" s="2" t="inlineStr">
        <is>
          <t>Spring 2026</t>
        </is>
      </c>
      <c r="D361" s="2" t="inlineStr">
        <is>
          <t>Semester 2</t>
        </is>
      </c>
      <c r="E361" s="2" t="inlineStr">
        <is>
          <t>CIV 160</t>
        </is>
      </c>
      <c r="F361" s="2">
        <f>IFERROR(VLOOKUP(E361,Courses!$A:$C,2,FALSE),"")</f>
        <v/>
      </c>
      <c r="G361" s="2">
        <f>IFERROR(VLOOKUP(E361,Courses!$A:$C,3,FALSE),0)</f>
        <v/>
      </c>
      <c r="H361" s="2" t="inlineStr">
        <is>
          <t>C+</t>
        </is>
      </c>
      <c r="I361" s="2" t="n">
        <v>78</v>
      </c>
      <c r="J361" s="2">
        <f>IFERROR(VLOOKUP(H361,'Grade Scale'!$A:$B,2,FALSE),0)</f>
        <v/>
      </c>
      <c r="K361" s="2">
        <f>J361*G361</f>
        <v/>
      </c>
      <c r="L361" s="2">
        <f>IF(H361="F",0,G361)</f>
        <v/>
      </c>
    </row>
  </sheetData>
  <autoFilter ref="A1:L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11" customWidth="1" min="4" max="4"/>
  </cols>
  <sheetData>
    <row r="1" ht="30" customHeight="1">
      <c r="A1" s="1" t="inlineStr">
        <is>
          <t>Letter</t>
        </is>
      </c>
      <c r="B1" s="1" t="inlineStr">
        <is>
          <t>Grade Points</t>
        </is>
      </c>
      <c r="C1" s="1" t="inlineStr">
        <is>
          <t>Min Score</t>
        </is>
      </c>
      <c r="D1" s="1" t="inlineStr">
        <is>
          <t>Max Score</t>
        </is>
      </c>
    </row>
    <row r="2">
      <c r="A2" s="2" t="inlineStr">
        <is>
          <t>A</t>
        </is>
      </c>
      <c r="B2" s="2" t="n">
        <v>4</v>
      </c>
      <c r="C2" s="2" t="n">
        <v>93</v>
      </c>
      <c r="D2" s="2" t="n">
        <v>100</v>
      </c>
    </row>
    <row r="3">
      <c r="A3" s="2" t="inlineStr">
        <is>
          <t>A-</t>
        </is>
      </c>
      <c r="B3" s="2" t="n">
        <v>3.7</v>
      </c>
      <c r="C3" s="2" t="n">
        <v>90</v>
      </c>
      <c r="D3" s="2" t="n">
        <v>92</v>
      </c>
    </row>
    <row r="4">
      <c r="A4" s="2" t="inlineStr">
        <is>
          <t>B+</t>
        </is>
      </c>
      <c r="B4" s="2" t="n">
        <v>3.3</v>
      </c>
      <c r="C4" s="2" t="n">
        <v>87</v>
      </c>
      <c r="D4" s="2" t="n">
        <v>89</v>
      </c>
    </row>
    <row r="5">
      <c r="A5" s="2" t="inlineStr">
        <is>
          <t>B</t>
        </is>
      </c>
      <c r="B5" s="2" t="n">
        <v>3</v>
      </c>
      <c r="C5" s="2" t="n">
        <v>83</v>
      </c>
      <c r="D5" s="2" t="n">
        <v>86</v>
      </c>
    </row>
    <row r="6">
      <c r="A6" s="2" t="inlineStr">
        <is>
          <t>B-</t>
        </is>
      </c>
      <c r="B6" s="2" t="n">
        <v>2.7</v>
      </c>
      <c r="C6" s="2" t="n">
        <v>80</v>
      </c>
      <c r="D6" s="2" t="n">
        <v>82</v>
      </c>
    </row>
    <row r="7">
      <c r="A7" s="2" t="inlineStr">
        <is>
          <t>C+</t>
        </is>
      </c>
      <c r="B7" s="2" t="n">
        <v>2.3</v>
      </c>
      <c r="C7" s="2" t="n">
        <v>77</v>
      </c>
      <c r="D7" s="2" t="n">
        <v>79</v>
      </c>
    </row>
    <row r="8">
      <c r="A8" s="2" t="inlineStr">
        <is>
          <t>C</t>
        </is>
      </c>
      <c r="B8" s="2" t="n">
        <v>2</v>
      </c>
      <c r="C8" s="2" t="n">
        <v>73</v>
      </c>
      <c r="D8" s="2" t="n">
        <v>76</v>
      </c>
    </row>
    <row r="9">
      <c r="A9" s="2" t="inlineStr">
        <is>
          <t>C-</t>
        </is>
      </c>
      <c r="B9" s="2" t="n">
        <v>1.7</v>
      </c>
      <c r="C9" s="2" t="n">
        <v>70</v>
      </c>
      <c r="D9" s="2" t="n">
        <v>72</v>
      </c>
    </row>
    <row r="10">
      <c r="A10" s="2" t="inlineStr">
        <is>
          <t>D+</t>
        </is>
      </c>
      <c r="B10" s="2" t="n">
        <v>1.3</v>
      </c>
      <c r="C10" s="2" t="n">
        <v>67</v>
      </c>
      <c r="D10" s="2" t="n">
        <v>69</v>
      </c>
    </row>
    <row r="11">
      <c r="A11" s="2" t="inlineStr">
        <is>
          <t>D</t>
        </is>
      </c>
      <c r="B11" s="2" t="n">
        <v>1</v>
      </c>
      <c r="C11" s="2" t="n">
        <v>60</v>
      </c>
      <c r="D11" s="2" t="n">
        <v>66</v>
      </c>
    </row>
    <row r="12">
      <c r="A12" s="2" t="inlineStr">
        <is>
          <t>F</t>
        </is>
      </c>
      <c r="B12" s="2" t="n">
        <v>0</v>
      </c>
      <c r="C12" s="2" t="n">
        <v>0</v>
      </c>
      <c r="D12" s="2" t="n">
        <v>59</v>
      </c>
    </row>
  </sheetData>
  <autoFilter ref="A1:D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3" customWidth="1" min="10" max="10"/>
  </cols>
  <sheetData>
    <row r="1" ht="30" customHeight="1">
      <c r="A1" s="1" t="inlineStr">
        <is>
          <t>Student ID</t>
        </is>
      </c>
      <c r="B1" s="1" t="inlineStr">
        <is>
          <t>Student Name</t>
        </is>
      </c>
      <c r="C1" s="1" t="inlineStr">
        <is>
          <t>Program</t>
        </is>
      </c>
      <c r="D1" s="1" t="inlineStr">
        <is>
          <t>Fall 2024 GPA</t>
        </is>
      </c>
      <c r="E1" s="1" t="inlineStr">
        <is>
          <t>Spring 2025 GPA</t>
        </is>
      </c>
      <c r="F1" s="1" t="inlineStr">
        <is>
          <t>Fall 2025 GPA</t>
        </is>
      </c>
      <c r="G1" s="1" t="inlineStr">
        <is>
          <t>Spring 2026 GPA</t>
        </is>
      </c>
      <c r="H1" s="1" t="inlineStr">
        <is>
          <t>Cumulative GPA</t>
        </is>
      </c>
      <c r="I1" s="1" t="inlineStr">
        <is>
          <t>ECTS Attempted</t>
        </is>
      </c>
      <c r="J1" s="1" t="inlineStr">
        <is>
          <t>ECTS Earned</t>
        </is>
      </c>
    </row>
    <row r="2">
      <c r="A2" s="2" t="inlineStr">
        <is>
          <t>m240101</t>
        </is>
      </c>
      <c r="B2" s="2">
        <f>VLOOKUP(A2,Students!$A:$B,2,FALSE)</f>
        <v/>
      </c>
      <c r="C2" s="2">
        <f>VLOOKUP(A2,Students!$A:$E,5,FALSE)</f>
        <v/>
      </c>
      <c r="D2" s="2">
        <f>IFERROR(ROUND(SUMIFS(Grades!$K:$K,Grades!$A:$A,$A2,Grades!$C:$C,"Fall 2024")/SUMIFS(Grades!$G:$G,Grades!$A:$A,$A2,Grades!$C:$C,"Fall 2024"),2),"")</f>
        <v/>
      </c>
      <c r="E2" s="2">
        <f>IFERROR(ROUND(SUMIFS(Grades!$K:$K,Grades!$A:$A,$A2,Grades!$C:$C,"Spring 2025")/SUMIFS(Grades!$G:$G,Grades!$A:$A,$A2,Grades!$C:$C,"Spring 2025"),2),"")</f>
        <v/>
      </c>
      <c r="F2" s="2">
        <f>IFERROR(ROUND(SUMIFS(Grades!$K:$K,Grades!$A:$A,$A2,Grades!$C:$C,"Fall 2025")/SUMIFS(Grades!$G:$G,Grades!$A:$A,$A2,Grades!$C:$C,"Fall 2025"),2),"")</f>
        <v/>
      </c>
      <c r="G2" s="2">
        <f>IFERROR(ROUND(SUMIFS(Grades!$K:$K,Grades!$A:$A,$A2,Grades!$C:$C,"Spring 2026")/SUMIFS(Grades!$G:$G,Grades!$A:$A,$A2,Grades!$C:$C,"Spring 2026"),2),"")</f>
        <v/>
      </c>
      <c r="H2" s="2">
        <f>IFERROR(ROUND(SUMIFS(Grades!$K:$K,Grades!$A:$A,$A2)/SUMIFS(Grades!$G:$G,Grades!$A:$A,$A2),2),"")</f>
        <v/>
      </c>
      <c r="I2" s="2">
        <f>SUMIFS(Grades!$G:$G,Grades!$A:$A,$A2)</f>
        <v/>
      </c>
      <c r="J2" s="2">
        <f>SUMIFS(Grades!$L:$L,Grades!$A:$A,$A2)</f>
        <v/>
      </c>
    </row>
    <row r="3">
      <c r="A3" s="2" t="inlineStr">
        <is>
          <t>m240102</t>
        </is>
      </c>
      <c r="B3" s="2">
        <f>VLOOKUP(A3,Students!$A:$B,2,FALSE)</f>
        <v/>
      </c>
      <c r="C3" s="2">
        <f>VLOOKUP(A3,Students!$A:$E,5,FALSE)</f>
        <v/>
      </c>
      <c r="D3" s="2">
        <f>IFERROR(ROUND(SUMIFS(Grades!$K:$K,Grades!$A:$A,$A3,Grades!$C:$C,"Fall 2024")/SUMIFS(Grades!$G:$G,Grades!$A:$A,$A3,Grades!$C:$C,"Fall 2024"),2),"")</f>
        <v/>
      </c>
      <c r="E3" s="2">
        <f>IFERROR(ROUND(SUMIFS(Grades!$K:$K,Grades!$A:$A,$A3,Grades!$C:$C,"Spring 2025")/SUMIFS(Grades!$G:$G,Grades!$A:$A,$A3,Grades!$C:$C,"Spring 2025"),2),"")</f>
        <v/>
      </c>
      <c r="F3" s="2">
        <f>IFERROR(ROUND(SUMIFS(Grades!$K:$K,Grades!$A:$A,$A3,Grades!$C:$C,"Fall 2025")/SUMIFS(Grades!$G:$G,Grades!$A:$A,$A3,Grades!$C:$C,"Fall 2025"),2),"")</f>
        <v/>
      </c>
      <c r="G3" s="2">
        <f>IFERROR(ROUND(SUMIFS(Grades!$K:$K,Grades!$A:$A,$A3,Grades!$C:$C,"Spring 2026")/SUMIFS(Grades!$G:$G,Grades!$A:$A,$A3,Grades!$C:$C,"Spring 2026"),2),"")</f>
        <v/>
      </c>
      <c r="H3" s="2">
        <f>IFERROR(ROUND(SUMIFS(Grades!$K:$K,Grades!$A:$A,$A3)/SUMIFS(Grades!$G:$G,Grades!$A:$A,$A3),2),"")</f>
        <v/>
      </c>
      <c r="I3" s="2">
        <f>SUMIFS(Grades!$G:$G,Grades!$A:$A,$A3)</f>
        <v/>
      </c>
      <c r="J3" s="2">
        <f>SUMIFS(Grades!$L:$L,Grades!$A:$A,$A3)</f>
        <v/>
      </c>
    </row>
    <row r="4">
      <c r="A4" s="2" t="inlineStr">
        <is>
          <t>m240103</t>
        </is>
      </c>
      <c r="B4" s="2">
        <f>VLOOKUP(A4,Students!$A:$B,2,FALSE)</f>
        <v/>
      </c>
      <c r="C4" s="2">
        <f>VLOOKUP(A4,Students!$A:$E,5,FALSE)</f>
        <v/>
      </c>
      <c r="D4" s="2">
        <f>IFERROR(ROUND(SUMIFS(Grades!$K:$K,Grades!$A:$A,$A4,Grades!$C:$C,"Fall 2024")/SUMIFS(Grades!$G:$G,Grades!$A:$A,$A4,Grades!$C:$C,"Fall 2024"),2),"")</f>
        <v/>
      </c>
      <c r="E4" s="2">
        <f>IFERROR(ROUND(SUMIFS(Grades!$K:$K,Grades!$A:$A,$A4,Grades!$C:$C,"Spring 2025")/SUMIFS(Grades!$G:$G,Grades!$A:$A,$A4,Grades!$C:$C,"Spring 2025"),2),"")</f>
        <v/>
      </c>
      <c r="F4" s="2">
        <f>IFERROR(ROUND(SUMIFS(Grades!$K:$K,Grades!$A:$A,$A4,Grades!$C:$C,"Fall 2025")/SUMIFS(Grades!$G:$G,Grades!$A:$A,$A4,Grades!$C:$C,"Fall 2025"),2),"")</f>
        <v/>
      </c>
      <c r="G4" s="2">
        <f>IFERROR(ROUND(SUMIFS(Grades!$K:$K,Grades!$A:$A,$A4,Grades!$C:$C,"Spring 2026")/SUMIFS(Grades!$G:$G,Grades!$A:$A,$A4,Grades!$C:$C,"Spring 2026"),2),"")</f>
        <v/>
      </c>
      <c r="H4" s="2">
        <f>IFERROR(ROUND(SUMIFS(Grades!$K:$K,Grades!$A:$A,$A4)/SUMIFS(Grades!$G:$G,Grades!$A:$A,$A4),2),"")</f>
        <v/>
      </c>
      <c r="I4" s="2">
        <f>SUMIFS(Grades!$G:$G,Grades!$A:$A,$A4)</f>
        <v/>
      </c>
      <c r="J4" s="2">
        <f>SUMIFS(Grades!$L:$L,Grades!$A:$A,$A4)</f>
        <v/>
      </c>
    </row>
    <row r="5">
      <c r="A5" s="2" t="inlineStr">
        <is>
          <t>m240104</t>
        </is>
      </c>
      <c r="B5" s="2">
        <f>VLOOKUP(A5,Students!$A:$B,2,FALSE)</f>
        <v/>
      </c>
      <c r="C5" s="2">
        <f>VLOOKUP(A5,Students!$A:$E,5,FALSE)</f>
        <v/>
      </c>
      <c r="D5" s="2">
        <f>IFERROR(ROUND(SUMIFS(Grades!$K:$K,Grades!$A:$A,$A5,Grades!$C:$C,"Fall 2024")/SUMIFS(Grades!$G:$G,Grades!$A:$A,$A5,Grades!$C:$C,"Fall 2024"),2),"")</f>
        <v/>
      </c>
      <c r="E5" s="2">
        <f>IFERROR(ROUND(SUMIFS(Grades!$K:$K,Grades!$A:$A,$A5,Grades!$C:$C,"Spring 2025")/SUMIFS(Grades!$G:$G,Grades!$A:$A,$A5,Grades!$C:$C,"Spring 2025"),2),"")</f>
        <v/>
      </c>
      <c r="F5" s="2">
        <f>IFERROR(ROUND(SUMIFS(Grades!$K:$K,Grades!$A:$A,$A5,Grades!$C:$C,"Fall 2025")/SUMIFS(Grades!$G:$G,Grades!$A:$A,$A5,Grades!$C:$C,"Fall 2025"),2),"")</f>
        <v/>
      </c>
      <c r="G5" s="2">
        <f>IFERROR(ROUND(SUMIFS(Grades!$K:$K,Grades!$A:$A,$A5,Grades!$C:$C,"Spring 2026")/SUMIFS(Grades!$G:$G,Grades!$A:$A,$A5,Grades!$C:$C,"Spring 2026"),2),"")</f>
        <v/>
      </c>
      <c r="H5" s="2">
        <f>IFERROR(ROUND(SUMIFS(Grades!$K:$K,Grades!$A:$A,$A5)/SUMIFS(Grades!$G:$G,Grades!$A:$A,$A5),2),"")</f>
        <v/>
      </c>
      <c r="I5" s="2">
        <f>SUMIFS(Grades!$G:$G,Grades!$A:$A,$A5)</f>
        <v/>
      </c>
      <c r="J5" s="2">
        <f>SUMIFS(Grades!$L:$L,Grades!$A:$A,$A5)</f>
        <v/>
      </c>
    </row>
    <row r="6">
      <c r="A6" s="2" t="inlineStr">
        <is>
          <t>m240105</t>
        </is>
      </c>
      <c r="B6" s="2">
        <f>VLOOKUP(A6,Students!$A:$B,2,FALSE)</f>
        <v/>
      </c>
      <c r="C6" s="2">
        <f>VLOOKUP(A6,Students!$A:$E,5,FALSE)</f>
        <v/>
      </c>
      <c r="D6" s="2">
        <f>IFERROR(ROUND(SUMIFS(Grades!$K:$K,Grades!$A:$A,$A6,Grades!$C:$C,"Fall 2024")/SUMIFS(Grades!$G:$G,Grades!$A:$A,$A6,Grades!$C:$C,"Fall 2024"),2),"")</f>
        <v/>
      </c>
      <c r="E6" s="2">
        <f>IFERROR(ROUND(SUMIFS(Grades!$K:$K,Grades!$A:$A,$A6,Grades!$C:$C,"Spring 2025")/SUMIFS(Grades!$G:$G,Grades!$A:$A,$A6,Grades!$C:$C,"Spring 2025"),2),"")</f>
        <v/>
      </c>
      <c r="F6" s="2">
        <f>IFERROR(ROUND(SUMIFS(Grades!$K:$K,Grades!$A:$A,$A6,Grades!$C:$C,"Fall 2025")/SUMIFS(Grades!$G:$G,Grades!$A:$A,$A6,Grades!$C:$C,"Fall 2025"),2),"")</f>
        <v/>
      </c>
      <c r="G6" s="2">
        <f>IFERROR(ROUND(SUMIFS(Grades!$K:$K,Grades!$A:$A,$A6,Grades!$C:$C,"Spring 2026")/SUMIFS(Grades!$G:$G,Grades!$A:$A,$A6,Grades!$C:$C,"Spring 2026"),2),"")</f>
        <v/>
      </c>
      <c r="H6" s="2">
        <f>IFERROR(ROUND(SUMIFS(Grades!$K:$K,Grades!$A:$A,$A6)/SUMIFS(Grades!$G:$G,Grades!$A:$A,$A6),2),"")</f>
        <v/>
      </c>
      <c r="I6" s="2">
        <f>SUMIFS(Grades!$G:$G,Grades!$A:$A,$A6)</f>
        <v/>
      </c>
      <c r="J6" s="2">
        <f>SUMIFS(Grades!$L:$L,Grades!$A:$A,$A6)</f>
        <v/>
      </c>
    </row>
    <row r="7">
      <c r="A7" s="2" t="inlineStr">
        <is>
          <t>m240106</t>
        </is>
      </c>
      <c r="B7" s="2">
        <f>VLOOKUP(A7,Students!$A:$B,2,FALSE)</f>
        <v/>
      </c>
      <c r="C7" s="2">
        <f>VLOOKUP(A7,Students!$A:$E,5,FALSE)</f>
        <v/>
      </c>
      <c r="D7" s="2">
        <f>IFERROR(ROUND(SUMIFS(Grades!$K:$K,Grades!$A:$A,$A7,Grades!$C:$C,"Fall 2024")/SUMIFS(Grades!$G:$G,Grades!$A:$A,$A7,Grades!$C:$C,"Fall 2024"),2),"")</f>
        <v/>
      </c>
      <c r="E7" s="2">
        <f>IFERROR(ROUND(SUMIFS(Grades!$K:$K,Grades!$A:$A,$A7,Grades!$C:$C,"Spring 2025")/SUMIFS(Grades!$G:$G,Grades!$A:$A,$A7,Grades!$C:$C,"Spring 2025"),2),"")</f>
        <v/>
      </c>
      <c r="F7" s="2">
        <f>IFERROR(ROUND(SUMIFS(Grades!$K:$K,Grades!$A:$A,$A7,Grades!$C:$C,"Fall 2025")/SUMIFS(Grades!$G:$G,Grades!$A:$A,$A7,Grades!$C:$C,"Fall 2025"),2),"")</f>
        <v/>
      </c>
      <c r="G7" s="2">
        <f>IFERROR(ROUND(SUMIFS(Grades!$K:$K,Grades!$A:$A,$A7,Grades!$C:$C,"Spring 2026")/SUMIFS(Grades!$G:$G,Grades!$A:$A,$A7,Grades!$C:$C,"Spring 2026"),2),"")</f>
        <v/>
      </c>
      <c r="H7" s="2">
        <f>IFERROR(ROUND(SUMIFS(Grades!$K:$K,Grades!$A:$A,$A7)/SUMIFS(Grades!$G:$G,Grades!$A:$A,$A7),2),"")</f>
        <v/>
      </c>
      <c r="I7" s="2">
        <f>SUMIFS(Grades!$G:$G,Grades!$A:$A,$A7)</f>
        <v/>
      </c>
      <c r="J7" s="2">
        <f>SUMIFS(Grades!$L:$L,Grades!$A:$A,$A7)</f>
        <v/>
      </c>
    </row>
    <row r="8">
      <c r="A8" s="2" t="inlineStr">
        <is>
          <t>m240107</t>
        </is>
      </c>
      <c r="B8" s="2">
        <f>VLOOKUP(A8,Students!$A:$B,2,FALSE)</f>
        <v/>
      </c>
      <c r="C8" s="2">
        <f>VLOOKUP(A8,Students!$A:$E,5,FALSE)</f>
        <v/>
      </c>
      <c r="D8" s="2">
        <f>IFERROR(ROUND(SUMIFS(Grades!$K:$K,Grades!$A:$A,$A8,Grades!$C:$C,"Fall 2024")/SUMIFS(Grades!$G:$G,Grades!$A:$A,$A8,Grades!$C:$C,"Fall 2024"),2),"")</f>
        <v/>
      </c>
      <c r="E8" s="2">
        <f>IFERROR(ROUND(SUMIFS(Grades!$K:$K,Grades!$A:$A,$A8,Grades!$C:$C,"Spring 2025")/SUMIFS(Grades!$G:$G,Grades!$A:$A,$A8,Grades!$C:$C,"Spring 2025"),2),"")</f>
        <v/>
      </c>
      <c r="F8" s="2">
        <f>IFERROR(ROUND(SUMIFS(Grades!$K:$K,Grades!$A:$A,$A8,Grades!$C:$C,"Fall 2025")/SUMIFS(Grades!$G:$G,Grades!$A:$A,$A8,Grades!$C:$C,"Fall 2025"),2),"")</f>
        <v/>
      </c>
      <c r="G8" s="2">
        <f>IFERROR(ROUND(SUMIFS(Grades!$K:$K,Grades!$A:$A,$A8,Grades!$C:$C,"Spring 2026")/SUMIFS(Grades!$G:$G,Grades!$A:$A,$A8,Grades!$C:$C,"Spring 2026"),2),"")</f>
        <v/>
      </c>
      <c r="H8" s="2">
        <f>IFERROR(ROUND(SUMIFS(Grades!$K:$K,Grades!$A:$A,$A8)/SUMIFS(Grades!$G:$G,Grades!$A:$A,$A8),2),"")</f>
        <v/>
      </c>
      <c r="I8" s="2">
        <f>SUMIFS(Grades!$G:$G,Grades!$A:$A,$A8)</f>
        <v/>
      </c>
      <c r="J8" s="2">
        <f>SUMIFS(Grades!$L:$L,Grades!$A:$A,$A8)</f>
        <v/>
      </c>
    </row>
    <row r="9">
      <c r="A9" s="2" t="inlineStr">
        <is>
          <t>m240108</t>
        </is>
      </c>
      <c r="B9" s="2">
        <f>VLOOKUP(A9,Students!$A:$B,2,FALSE)</f>
        <v/>
      </c>
      <c r="C9" s="2">
        <f>VLOOKUP(A9,Students!$A:$E,5,FALSE)</f>
        <v/>
      </c>
      <c r="D9" s="2">
        <f>IFERROR(ROUND(SUMIFS(Grades!$K:$K,Grades!$A:$A,$A9,Grades!$C:$C,"Fall 2024")/SUMIFS(Grades!$G:$G,Grades!$A:$A,$A9,Grades!$C:$C,"Fall 2024"),2),"")</f>
        <v/>
      </c>
      <c r="E9" s="2">
        <f>IFERROR(ROUND(SUMIFS(Grades!$K:$K,Grades!$A:$A,$A9,Grades!$C:$C,"Spring 2025")/SUMIFS(Grades!$G:$G,Grades!$A:$A,$A9,Grades!$C:$C,"Spring 2025"),2),"")</f>
        <v/>
      </c>
      <c r="F9" s="2">
        <f>IFERROR(ROUND(SUMIFS(Grades!$K:$K,Grades!$A:$A,$A9,Grades!$C:$C,"Fall 2025")/SUMIFS(Grades!$G:$G,Grades!$A:$A,$A9,Grades!$C:$C,"Fall 2025"),2),"")</f>
        <v/>
      </c>
      <c r="G9" s="2">
        <f>IFERROR(ROUND(SUMIFS(Grades!$K:$K,Grades!$A:$A,$A9,Grades!$C:$C,"Spring 2026")/SUMIFS(Grades!$G:$G,Grades!$A:$A,$A9,Grades!$C:$C,"Spring 2026"),2),"")</f>
        <v/>
      </c>
      <c r="H9" s="2">
        <f>IFERROR(ROUND(SUMIFS(Grades!$K:$K,Grades!$A:$A,$A9)/SUMIFS(Grades!$G:$G,Grades!$A:$A,$A9),2),"")</f>
        <v/>
      </c>
      <c r="I9" s="2">
        <f>SUMIFS(Grades!$G:$G,Grades!$A:$A,$A9)</f>
        <v/>
      </c>
      <c r="J9" s="2">
        <f>SUMIFS(Grades!$L:$L,Grades!$A:$A,$A9)</f>
        <v/>
      </c>
    </row>
    <row r="10">
      <c r="A10" s="2" t="inlineStr">
        <is>
          <t>m250201</t>
        </is>
      </c>
      <c r="B10" s="2">
        <f>VLOOKUP(A10,Students!$A:$B,2,FALSE)</f>
        <v/>
      </c>
      <c r="C10" s="2">
        <f>VLOOKUP(A10,Students!$A:$E,5,FALSE)</f>
        <v/>
      </c>
      <c r="D10" s="2">
        <f>IFERROR(ROUND(SUMIFS(Grades!$K:$K,Grades!$A:$A,$A10,Grades!$C:$C,"Fall 2024")/SUMIFS(Grades!$G:$G,Grades!$A:$A,$A10,Grades!$C:$C,"Fall 2024"),2),"")</f>
        <v/>
      </c>
      <c r="E10" s="2">
        <f>IFERROR(ROUND(SUMIFS(Grades!$K:$K,Grades!$A:$A,$A10,Grades!$C:$C,"Spring 2025")/SUMIFS(Grades!$G:$G,Grades!$A:$A,$A10,Grades!$C:$C,"Spring 2025"),2),"")</f>
        <v/>
      </c>
      <c r="F10" s="2">
        <f>IFERROR(ROUND(SUMIFS(Grades!$K:$K,Grades!$A:$A,$A10,Grades!$C:$C,"Fall 2025")/SUMIFS(Grades!$G:$G,Grades!$A:$A,$A10,Grades!$C:$C,"Fall 2025"),2),"")</f>
        <v/>
      </c>
      <c r="G10" s="2">
        <f>IFERROR(ROUND(SUMIFS(Grades!$K:$K,Grades!$A:$A,$A10,Grades!$C:$C,"Spring 2026")/SUMIFS(Grades!$G:$G,Grades!$A:$A,$A10,Grades!$C:$C,"Spring 2026"),2),"")</f>
        <v/>
      </c>
      <c r="H10" s="2">
        <f>IFERROR(ROUND(SUMIFS(Grades!$K:$K,Grades!$A:$A,$A10)/SUMIFS(Grades!$G:$G,Grades!$A:$A,$A10),2),"")</f>
        <v/>
      </c>
      <c r="I10" s="2">
        <f>SUMIFS(Grades!$G:$G,Grades!$A:$A,$A10)</f>
        <v/>
      </c>
      <c r="J10" s="2">
        <f>SUMIFS(Grades!$L:$L,Grades!$A:$A,$A10)</f>
        <v/>
      </c>
    </row>
    <row r="11">
      <c r="A11" s="2" t="inlineStr">
        <is>
          <t>m250202</t>
        </is>
      </c>
      <c r="B11" s="2">
        <f>VLOOKUP(A11,Students!$A:$B,2,FALSE)</f>
        <v/>
      </c>
      <c r="C11" s="2">
        <f>VLOOKUP(A11,Students!$A:$E,5,FALSE)</f>
        <v/>
      </c>
      <c r="D11" s="2">
        <f>IFERROR(ROUND(SUMIFS(Grades!$K:$K,Grades!$A:$A,$A11,Grades!$C:$C,"Fall 2024")/SUMIFS(Grades!$G:$G,Grades!$A:$A,$A11,Grades!$C:$C,"Fall 2024"),2),"")</f>
        <v/>
      </c>
      <c r="E11" s="2">
        <f>IFERROR(ROUND(SUMIFS(Grades!$K:$K,Grades!$A:$A,$A11,Grades!$C:$C,"Spring 2025")/SUMIFS(Grades!$G:$G,Grades!$A:$A,$A11,Grades!$C:$C,"Spring 2025"),2),"")</f>
        <v/>
      </c>
      <c r="F11" s="2">
        <f>IFERROR(ROUND(SUMIFS(Grades!$K:$K,Grades!$A:$A,$A11,Grades!$C:$C,"Fall 2025")/SUMIFS(Grades!$G:$G,Grades!$A:$A,$A11,Grades!$C:$C,"Fall 2025"),2),"")</f>
        <v/>
      </c>
      <c r="G11" s="2">
        <f>IFERROR(ROUND(SUMIFS(Grades!$K:$K,Grades!$A:$A,$A11,Grades!$C:$C,"Spring 2026")/SUMIFS(Grades!$G:$G,Grades!$A:$A,$A11,Grades!$C:$C,"Spring 2026"),2),"")</f>
        <v/>
      </c>
      <c r="H11" s="2">
        <f>IFERROR(ROUND(SUMIFS(Grades!$K:$K,Grades!$A:$A,$A11)/SUMIFS(Grades!$G:$G,Grades!$A:$A,$A11),2),"")</f>
        <v/>
      </c>
      <c r="I11" s="2">
        <f>SUMIFS(Grades!$G:$G,Grades!$A:$A,$A11)</f>
        <v/>
      </c>
      <c r="J11" s="2">
        <f>SUMIFS(Grades!$L:$L,Grades!$A:$A,$A11)</f>
        <v/>
      </c>
    </row>
    <row r="12">
      <c r="A12" s="2" t="inlineStr">
        <is>
          <t>m250203</t>
        </is>
      </c>
      <c r="B12" s="2">
        <f>VLOOKUP(A12,Students!$A:$B,2,FALSE)</f>
        <v/>
      </c>
      <c r="C12" s="2">
        <f>VLOOKUP(A12,Students!$A:$E,5,FALSE)</f>
        <v/>
      </c>
      <c r="D12" s="2">
        <f>IFERROR(ROUND(SUMIFS(Grades!$K:$K,Grades!$A:$A,$A12,Grades!$C:$C,"Fall 2024")/SUMIFS(Grades!$G:$G,Grades!$A:$A,$A12,Grades!$C:$C,"Fall 2024"),2),"")</f>
        <v/>
      </c>
      <c r="E12" s="2">
        <f>IFERROR(ROUND(SUMIFS(Grades!$K:$K,Grades!$A:$A,$A12,Grades!$C:$C,"Spring 2025")/SUMIFS(Grades!$G:$G,Grades!$A:$A,$A12,Grades!$C:$C,"Spring 2025"),2),"")</f>
        <v/>
      </c>
      <c r="F12" s="2">
        <f>IFERROR(ROUND(SUMIFS(Grades!$K:$K,Grades!$A:$A,$A12,Grades!$C:$C,"Fall 2025")/SUMIFS(Grades!$G:$G,Grades!$A:$A,$A12,Grades!$C:$C,"Fall 2025"),2),"")</f>
        <v/>
      </c>
      <c r="G12" s="2">
        <f>IFERROR(ROUND(SUMIFS(Grades!$K:$K,Grades!$A:$A,$A12,Grades!$C:$C,"Spring 2026")/SUMIFS(Grades!$G:$G,Grades!$A:$A,$A12,Grades!$C:$C,"Spring 2026"),2),"")</f>
        <v/>
      </c>
      <c r="H12" s="2">
        <f>IFERROR(ROUND(SUMIFS(Grades!$K:$K,Grades!$A:$A,$A12)/SUMIFS(Grades!$G:$G,Grades!$A:$A,$A12),2),"")</f>
        <v/>
      </c>
      <c r="I12" s="2">
        <f>SUMIFS(Grades!$G:$G,Grades!$A:$A,$A12)</f>
        <v/>
      </c>
      <c r="J12" s="2">
        <f>SUMIFS(Grades!$L:$L,Grades!$A:$A,$A12)</f>
        <v/>
      </c>
    </row>
    <row r="13">
      <c r="A13" s="2" t="inlineStr">
        <is>
          <t>m250204</t>
        </is>
      </c>
      <c r="B13" s="2">
        <f>VLOOKUP(A13,Students!$A:$B,2,FALSE)</f>
        <v/>
      </c>
      <c r="C13" s="2">
        <f>VLOOKUP(A13,Students!$A:$E,5,FALSE)</f>
        <v/>
      </c>
      <c r="D13" s="2">
        <f>IFERROR(ROUND(SUMIFS(Grades!$K:$K,Grades!$A:$A,$A13,Grades!$C:$C,"Fall 2024")/SUMIFS(Grades!$G:$G,Grades!$A:$A,$A13,Grades!$C:$C,"Fall 2024"),2),"")</f>
        <v/>
      </c>
      <c r="E13" s="2">
        <f>IFERROR(ROUND(SUMIFS(Grades!$K:$K,Grades!$A:$A,$A13,Grades!$C:$C,"Spring 2025")/SUMIFS(Grades!$G:$G,Grades!$A:$A,$A13,Grades!$C:$C,"Spring 2025"),2),"")</f>
        <v/>
      </c>
      <c r="F13" s="2">
        <f>IFERROR(ROUND(SUMIFS(Grades!$K:$K,Grades!$A:$A,$A13,Grades!$C:$C,"Fall 2025")/SUMIFS(Grades!$G:$G,Grades!$A:$A,$A13,Grades!$C:$C,"Fall 2025"),2),"")</f>
        <v/>
      </c>
      <c r="G13" s="2">
        <f>IFERROR(ROUND(SUMIFS(Grades!$K:$K,Grades!$A:$A,$A13,Grades!$C:$C,"Spring 2026")/SUMIFS(Grades!$G:$G,Grades!$A:$A,$A13,Grades!$C:$C,"Spring 2026"),2),"")</f>
        <v/>
      </c>
      <c r="H13" s="2">
        <f>IFERROR(ROUND(SUMIFS(Grades!$K:$K,Grades!$A:$A,$A13)/SUMIFS(Grades!$G:$G,Grades!$A:$A,$A13),2),"")</f>
        <v/>
      </c>
      <c r="I13" s="2">
        <f>SUMIFS(Grades!$G:$G,Grades!$A:$A,$A13)</f>
        <v/>
      </c>
      <c r="J13" s="2">
        <f>SUMIFS(Grades!$L:$L,Grades!$A:$A,$A13)</f>
        <v/>
      </c>
    </row>
    <row r="14">
      <c r="A14" s="2" t="inlineStr">
        <is>
          <t>m250205</t>
        </is>
      </c>
      <c r="B14" s="2">
        <f>VLOOKUP(A14,Students!$A:$B,2,FALSE)</f>
        <v/>
      </c>
      <c r="C14" s="2">
        <f>VLOOKUP(A14,Students!$A:$E,5,FALSE)</f>
        <v/>
      </c>
      <c r="D14" s="2">
        <f>IFERROR(ROUND(SUMIFS(Grades!$K:$K,Grades!$A:$A,$A14,Grades!$C:$C,"Fall 2024")/SUMIFS(Grades!$G:$G,Grades!$A:$A,$A14,Grades!$C:$C,"Fall 2024"),2),"")</f>
        <v/>
      </c>
      <c r="E14" s="2">
        <f>IFERROR(ROUND(SUMIFS(Grades!$K:$K,Grades!$A:$A,$A14,Grades!$C:$C,"Spring 2025")/SUMIFS(Grades!$G:$G,Grades!$A:$A,$A14,Grades!$C:$C,"Spring 2025"),2),"")</f>
        <v/>
      </c>
      <c r="F14" s="2">
        <f>IFERROR(ROUND(SUMIFS(Grades!$K:$K,Grades!$A:$A,$A14,Grades!$C:$C,"Fall 2025")/SUMIFS(Grades!$G:$G,Grades!$A:$A,$A14,Grades!$C:$C,"Fall 2025"),2),"")</f>
        <v/>
      </c>
      <c r="G14" s="2">
        <f>IFERROR(ROUND(SUMIFS(Grades!$K:$K,Grades!$A:$A,$A14,Grades!$C:$C,"Spring 2026")/SUMIFS(Grades!$G:$G,Grades!$A:$A,$A14,Grades!$C:$C,"Spring 2026"),2),"")</f>
        <v/>
      </c>
      <c r="H14" s="2">
        <f>IFERROR(ROUND(SUMIFS(Grades!$K:$K,Grades!$A:$A,$A14)/SUMIFS(Grades!$G:$G,Grades!$A:$A,$A14),2),"")</f>
        <v/>
      </c>
      <c r="I14" s="2">
        <f>SUMIFS(Grades!$G:$G,Grades!$A:$A,$A14)</f>
        <v/>
      </c>
      <c r="J14" s="2">
        <f>SUMIFS(Grades!$L:$L,Grades!$A:$A,$A14)</f>
        <v/>
      </c>
    </row>
    <row r="15">
      <c r="A15" s="2" t="inlineStr">
        <is>
          <t>m250206</t>
        </is>
      </c>
      <c r="B15" s="2">
        <f>VLOOKUP(A15,Students!$A:$B,2,FALSE)</f>
        <v/>
      </c>
      <c r="C15" s="2">
        <f>VLOOKUP(A15,Students!$A:$E,5,FALSE)</f>
        <v/>
      </c>
      <c r="D15" s="2">
        <f>IFERROR(ROUND(SUMIFS(Grades!$K:$K,Grades!$A:$A,$A15,Grades!$C:$C,"Fall 2024")/SUMIFS(Grades!$G:$G,Grades!$A:$A,$A15,Grades!$C:$C,"Fall 2024"),2),"")</f>
        <v/>
      </c>
      <c r="E15" s="2">
        <f>IFERROR(ROUND(SUMIFS(Grades!$K:$K,Grades!$A:$A,$A15,Grades!$C:$C,"Spring 2025")/SUMIFS(Grades!$G:$G,Grades!$A:$A,$A15,Grades!$C:$C,"Spring 2025"),2),"")</f>
        <v/>
      </c>
      <c r="F15" s="2">
        <f>IFERROR(ROUND(SUMIFS(Grades!$K:$K,Grades!$A:$A,$A15,Grades!$C:$C,"Fall 2025")/SUMIFS(Grades!$G:$G,Grades!$A:$A,$A15,Grades!$C:$C,"Fall 2025"),2),"")</f>
        <v/>
      </c>
      <c r="G15" s="2">
        <f>IFERROR(ROUND(SUMIFS(Grades!$K:$K,Grades!$A:$A,$A15,Grades!$C:$C,"Spring 2026")/SUMIFS(Grades!$G:$G,Grades!$A:$A,$A15,Grades!$C:$C,"Spring 2026"),2),"")</f>
        <v/>
      </c>
      <c r="H15" s="2">
        <f>IFERROR(ROUND(SUMIFS(Grades!$K:$K,Grades!$A:$A,$A15)/SUMIFS(Grades!$G:$G,Grades!$A:$A,$A15),2),"")</f>
        <v/>
      </c>
      <c r="I15" s="2">
        <f>SUMIFS(Grades!$G:$G,Grades!$A:$A,$A15)</f>
        <v/>
      </c>
      <c r="J15" s="2">
        <f>SUMIFS(Grades!$L:$L,Grades!$A:$A,$A15)</f>
        <v/>
      </c>
    </row>
    <row r="16">
      <c r="A16" s="2" t="inlineStr">
        <is>
          <t>m250207</t>
        </is>
      </c>
      <c r="B16" s="2">
        <f>VLOOKUP(A16,Students!$A:$B,2,FALSE)</f>
        <v/>
      </c>
      <c r="C16" s="2">
        <f>VLOOKUP(A16,Students!$A:$E,5,FALSE)</f>
        <v/>
      </c>
      <c r="D16" s="2">
        <f>IFERROR(ROUND(SUMIFS(Grades!$K:$K,Grades!$A:$A,$A16,Grades!$C:$C,"Fall 2024")/SUMIFS(Grades!$G:$G,Grades!$A:$A,$A16,Grades!$C:$C,"Fall 2024"),2),"")</f>
        <v/>
      </c>
      <c r="E16" s="2">
        <f>IFERROR(ROUND(SUMIFS(Grades!$K:$K,Grades!$A:$A,$A16,Grades!$C:$C,"Spring 2025")/SUMIFS(Grades!$G:$G,Grades!$A:$A,$A16,Grades!$C:$C,"Spring 2025"),2),"")</f>
        <v/>
      </c>
      <c r="F16" s="2">
        <f>IFERROR(ROUND(SUMIFS(Grades!$K:$K,Grades!$A:$A,$A16,Grades!$C:$C,"Fall 2025")/SUMIFS(Grades!$G:$G,Grades!$A:$A,$A16,Grades!$C:$C,"Fall 2025"),2),"")</f>
        <v/>
      </c>
      <c r="G16" s="2">
        <f>IFERROR(ROUND(SUMIFS(Grades!$K:$K,Grades!$A:$A,$A16,Grades!$C:$C,"Spring 2026")/SUMIFS(Grades!$G:$G,Grades!$A:$A,$A16,Grades!$C:$C,"Spring 2026"),2),"")</f>
        <v/>
      </c>
      <c r="H16" s="2">
        <f>IFERROR(ROUND(SUMIFS(Grades!$K:$K,Grades!$A:$A,$A16)/SUMIFS(Grades!$G:$G,Grades!$A:$A,$A16),2),"")</f>
        <v/>
      </c>
      <c r="I16" s="2">
        <f>SUMIFS(Grades!$G:$G,Grades!$A:$A,$A16)</f>
        <v/>
      </c>
      <c r="J16" s="2">
        <f>SUMIFS(Grades!$L:$L,Grades!$A:$A,$A16)</f>
        <v/>
      </c>
    </row>
    <row r="17">
      <c r="A17" s="2" t="inlineStr">
        <is>
          <t>m250208</t>
        </is>
      </c>
      <c r="B17" s="2">
        <f>VLOOKUP(A17,Students!$A:$B,2,FALSE)</f>
        <v/>
      </c>
      <c r="C17" s="2">
        <f>VLOOKUP(A17,Students!$A:$E,5,FALSE)</f>
        <v/>
      </c>
      <c r="D17" s="2">
        <f>IFERROR(ROUND(SUMIFS(Grades!$K:$K,Grades!$A:$A,$A17,Grades!$C:$C,"Fall 2024")/SUMIFS(Grades!$G:$G,Grades!$A:$A,$A17,Grades!$C:$C,"Fall 2024"),2),"")</f>
        <v/>
      </c>
      <c r="E17" s="2">
        <f>IFERROR(ROUND(SUMIFS(Grades!$K:$K,Grades!$A:$A,$A17,Grades!$C:$C,"Spring 2025")/SUMIFS(Grades!$G:$G,Grades!$A:$A,$A17,Grades!$C:$C,"Spring 2025"),2),"")</f>
        <v/>
      </c>
      <c r="F17" s="2">
        <f>IFERROR(ROUND(SUMIFS(Grades!$K:$K,Grades!$A:$A,$A17,Grades!$C:$C,"Fall 2025")/SUMIFS(Grades!$G:$G,Grades!$A:$A,$A17,Grades!$C:$C,"Fall 2025"),2),"")</f>
        <v/>
      </c>
      <c r="G17" s="2">
        <f>IFERROR(ROUND(SUMIFS(Grades!$K:$K,Grades!$A:$A,$A17,Grades!$C:$C,"Spring 2026")/SUMIFS(Grades!$G:$G,Grades!$A:$A,$A17,Grades!$C:$C,"Spring 2026"),2),"")</f>
        <v/>
      </c>
      <c r="H17" s="2">
        <f>IFERROR(ROUND(SUMIFS(Grades!$K:$K,Grades!$A:$A,$A17)/SUMIFS(Grades!$G:$G,Grades!$A:$A,$A17),2),"")</f>
        <v/>
      </c>
      <c r="I17" s="2">
        <f>SUMIFS(Grades!$G:$G,Grades!$A:$A,$A17)</f>
        <v/>
      </c>
      <c r="J17" s="2">
        <f>SUMIFS(Grades!$L:$L,Grades!$A:$A,$A17)</f>
        <v/>
      </c>
    </row>
    <row r="18">
      <c r="A18" s="2" t="inlineStr">
        <is>
          <t>m250209</t>
        </is>
      </c>
      <c r="B18" s="2">
        <f>VLOOKUP(A18,Students!$A:$B,2,FALSE)</f>
        <v/>
      </c>
      <c r="C18" s="2">
        <f>VLOOKUP(A18,Students!$A:$E,5,FALSE)</f>
        <v/>
      </c>
      <c r="D18" s="2">
        <f>IFERROR(ROUND(SUMIFS(Grades!$K:$K,Grades!$A:$A,$A18,Grades!$C:$C,"Fall 2024")/SUMIFS(Grades!$G:$G,Grades!$A:$A,$A18,Grades!$C:$C,"Fall 2024"),2),"")</f>
        <v/>
      </c>
      <c r="E18" s="2">
        <f>IFERROR(ROUND(SUMIFS(Grades!$K:$K,Grades!$A:$A,$A18,Grades!$C:$C,"Spring 2025")/SUMIFS(Grades!$G:$G,Grades!$A:$A,$A18,Grades!$C:$C,"Spring 2025"),2),"")</f>
        <v/>
      </c>
      <c r="F18" s="2">
        <f>IFERROR(ROUND(SUMIFS(Grades!$K:$K,Grades!$A:$A,$A18,Grades!$C:$C,"Fall 2025")/SUMIFS(Grades!$G:$G,Grades!$A:$A,$A18,Grades!$C:$C,"Fall 2025"),2),"")</f>
        <v/>
      </c>
      <c r="G18" s="2">
        <f>IFERROR(ROUND(SUMIFS(Grades!$K:$K,Grades!$A:$A,$A18,Grades!$C:$C,"Spring 2026")/SUMIFS(Grades!$G:$G,Grades!$A:$A,$A18,Grades!$C:$C,"Spring 2026"),2),"")</f>
        <v/>
      </c>
      <c r="H18" s="2">
        <f>IFERROR(ROUND(SUMIFS(Grades!$K:$K,Grades!$A:$A,$A18)/SUMIFS(Grades!$G:$G,Grades!$A:$A,$A18),2),"")</f>
        <v/>
      </c>
      <c r="I18" s="2">
        <f>SUMIFS(Grades!$G:$G,Grades!$A:$A,$A18)</f>
        <v/>
      </c>
      <c r="J18" s="2">
        <f>SUMIFS(Grades!$L:$L,Grades!$A:$A,$A18)</f>
        <v/>
      </c>
    </row>
    <row r="19">
      <c r="A19" s="2" t="inlineStr">
        <is>
          <t>m250210</t>
        </is>
      </c>
      <c r="B19" s="2">
        <f>VLOOKUP(A19,Students!$A:$B,2,FALSE)</f>
        <v/>
      </c>
      <c r="C19" s="2">
        <f>VLOOKUP(A19,Students!$A:$E,5,FALSE)</f>
        <v/>
      </c>
      <c r="D19" s="2">
        <f>IFERROR(ROUND(SUMIFS(Grades!$K:$K,Grades!$A:$A,$A19,Grades!$C:$C,"Fall 2024")/SUMIFS(Grades!$G:$G,Grades!$A:$A,$A19,Grades!$C:$C,"Fall 2024"),2),"")</f>
        <v/>
      </c>
      <c r="E19" s="2">
        <f>IFERROR(ROUND(SUMIFS(Grades!$K:$K,Grades!$A:$A,$A19,Grades!$C:$C,"Spring 2025")/SUMIFS(Grades!$G:$G,Grades!$A:$A,$A19,Grades!$C:$C,"Spring 2025"),2),"")</f>
        <v/>
      </c>
      <c r="F19" s="2">
        <f>IFERROR(ROUND(SUMIFS(Grades!$K:$K,Grades!$A:$A,$A19,Grades!$C:$C,"Fall 2025")/SUMIFS(Grades!$G:$G,Grades!$A:$A,$A19,Grades!$C:$C,"Fall 2025"),2),"")</f>
        <v/>
      </c>
      <c r="G19" s="2">
        <f>IFERROR(ROUND(SUMIFS(Grades!$K:$K,Grades!$A:$A,$A19,Grades!$C:$C,"Spring 2026")/SUMIFS(Grades!$G:$G,Grades!$A:$A,$A19,Grades!$C:$C,"Spring 2026"),2),"")</f>
        <v/>
      </c>
      <c r="H19" s="2">
        <f>IFERROR(ROUND(SUMIFS(Grades!$K:$K,Grades!$A:$A,$A19)/SUMIFS(Grades!$G:$G,Grades!$A:$A,$A19),2),"")</f>
        <v/>
      </c>
      <c r="I19" s="2">
        <f>SUMIFS(Grades!$G:$G,Grades!$A:$A,$A19)</f>
        <v/>
      </c>
      <c r="J19" s="2">
        <f>SUMIFS(Grades!$L:$L,Grades!$A:$A,$A19)</f>
        <v/>
      </c>
    </row>
    <row r="20">
      <c r="A20" s="2" t="inlineStr">
        <is>
          <t>m250301</t>
        </is>
      </c>
      <c r="B20" s="2">
        <f>VLOOKUP(A20,Students!$A:$B,2,FALSE)</f>
        <v/>
      </c>
      <c r="C20" s="2">
        <f>VLOOKUP(A20,Students!$A:$E,5,FALSE)</f>
        <v/>
      </c>
      <c r="D20" s="2">
        <f>IFERROR(ROUND(SUMIFS(Grades!$K:$K,Grades!$A:$A,$A20,Grades!$C:$C,"Fall 2024")/SUMIFS(Grades!$G:$G,Grades!$A:$A,$A20,Grades!$C:$C,"Fall 2024"),2),"")</f>
        <v/>
      </c>
      <c r="E20" s="2">
        <f>IFERROR(ROUND(SUMIFS(Grades!$K:$K,Grades!$A:$A,$A20,Grades!$C:$C,"Spring 2025")/SUMIFS(Grades!$G:$G,Grades!$A:$A,$A20,Grades!$C:$C,"Spring 2025"),2),"")</f>
        <v/>
      </c>
      <c r="F20" s="2">
        <f>IFERROR(ROUND(SUMIFS(Grades!$K:$K,Grades!$A:$A,$A20,Grades!$C:$C,"Fall 2025")/SUMIFS(Grades!$G:$G,Grades!$A:$A,$A20,Grades!$C:$C,"Fall 2025"),2),"")</f>
        <v/>
      </c>
      <c r="G20" s="2">
        <f>IFERROR(ROUND(SUMIFS(Grades!$K:$K,Grades!$A:$A,$A20,Grades!$C:$C,"Spring 2026")/SUMIFS(Grades!$G:$G,Grades!$A:$A,$A20,Grades!$C:$C,"Spring 2026"),2),"")</f>
        <v/>
      </c>
      <c r="H20" s="2">
        <f>IFERROR(ROUND(SUMIFS(Grades!$K:$K,Grades!$A:$A,$A20)/SUMIFS(Grades!$G:$G,Grades!$A:$A,$A20),2),"")</f>
        <v/>
      </c>
      <c r="I20" s="2">
        <f>SUMIFS(Grades!$G:$G,Grades!$A:$A,$A20)</f>
        <v/>
      </c>
      <c r="J20" s="2">
        <f>SUMIFS(Grades!$L:$L,Grades!$A:$A,$A20)</f>
        <v/>
      </c>
    </row>
    <row r="21">
      <c r="A21" s="2" t="inlineStr">
        <is>
          <t>m250302</t>
        </is>
      </c>
      <c r="B21" s="2">
        <f>VLOOKUP(A21,Students!$A:$B,2,FALSE)</f>
        <v/>
      </c>
      <c r="C21" s="2">
        <f>VLOOKUP(A21,Students!$A:$E,5,FALSE)</f>
        <v/>
      </c>
      <c r="D21" s="2">
        <f>IFERROR(ROUND(SUMIFS(Grades!$K:$K,Grades!$A:$A,$A21,Grades!$C:$C,"Fall 2024")/SUMIFS(Grades!$G:$G,Grades!$A:$A,$A21,Grades!$C:$C,"Fall 2024"),2),"")</f>
        <v/>
      </c>
      <c r="E21" s="2">
        <f>IFERROR(ROUND(SUMIFS(Grades!$K:$K,Grades!$A:$A,$A21,Grades!$C:$C,"Spring 2025")/SUMIFS(Grades!$G:$G,Grades!$A:$A,$A21,Grades!$C:$C,"Spring 2025"),2),"")</f>
        <v/>
      </c>
      <c r="F21" s="2">
        <f>IFERROR(ROUND(SUMIFS(Grades!$K:$K,Grades!$A:$A,$A21,Grades!$C:$C,"Fall 2025")/SUMIFS(Grades!$G:$G,Grades!$A:$A,$A21,Grades!$C:$C,"Fall 2025"),2),"")</f>
        <v/>
      </c>
      <c r="G21" s="2">
        <f>IFERROR(ROUND(SUMIFS(Grades!$K:$K,Grades!$A:$A,$A21,Grades!$C:$C,"Spring 2026")/SUMIFS(Grades!$G:$G,Grades!$A:$A,$A21,Grades!$C:$C,"Spring 2026"),2),"")</f>
        <v/>
      </c>
      <c r="H21" s="2">
        <f>IFERROR(ROUND(SUMIFS(Grades!$K:$K,Grades!$A:$A,$A21)/SUMIFS(Grades!$G:$G,Grades!$A:$A,$A21),2),"")</f>
        <v/>
      </c>
      <c r="I21" s="2">
        <f>SUMIFS(Grades!$G:$G,Grades!$A:$A,$A21)</f>
        <v/>
      </c>
      <c r="J21" s="2">
        <f>SUMIFS(Grades!$L:$L,Grades!$A:$A,$A21)</f>
        <v/>
      </c>
    </row>
    <row r="22">
      <c r="A22" s="2" t="inlineStr">
        <is>
          <t>m250303</t>
        </is>
      </c>
      <c r="B22" s="2">
        <f>VLOOKUP(A22,Students!$A:$B,2,FALSE)</f>
        <v/>
      </c>
      <c r="C22" s="2">
        <f>VLOOKUP(A22,Students!$A:$E,5,FALSE)</f>
        <v/>
      </c>
      <c r="D22" s="2">
        <f>IFERROR(ROUND(SUMIFS(Grades!$K:$K,Grades!$A:$A,$A22,Grades!$C:$C,"Fall 2024")/SUMIFS(Grades!$G:$G,Grades!$A:$A,$A22,Grades!$C:$C,"Fall 2024"),2),"")</f>
        <v/>
      </c>
      <c r="E22" s="2">
        <f>IFERROR(ROUND(SUMIFS(Grades!$K:$K,Grades!$A:$A,$A22,Grades!$C:$C,"Spring 2025")/SUMIFS(Grades!$G:$G,Grades!$A:$A,$A22,Grades!$C:$C,"Spring 2025"),2),"")</f>
        <v/>
      </c>
      <c r="F22" s="2">
        <f>IFERROR(ROUND(SUMIFS(Grades!$K:$K,Grades!$A:$A,$A22,Grades!$C:$C,"Fall 2025")/SUMIFS(Grades!$G:$G,Grades!$A:$A,$A22,Grades!$C:$C,"Fall 2025"),2),"")</f>
        <v/>
      </c>
      <c r="G22" s="2">
        <f>IFERROR(ROUND(SUMIFS(Grades!$K:$K,Grades!$A:$A,$A22,Grades!$C:$C,"Spring 2026")/SUMIFS(Grades!$G:$G,Grades!$A:$A,$A22,Grades!$C:$C,"Spring 2026"),2),"")</f>
        <v/>
      </c>
      <c r="H22" s="2">
        <f>IFERROR(ROUND(SUMIFS(Grades!$K:$K,Grades!$A:$A,$A22)/SUMIFS(Grades!$G:$G,Grades!$A:$A,$A22),2),"")</f>
        <v/>
      </c>
      <c r="I22" s="2">
        <f>SUMIFS(Grades!$G:$G,Grades!$A:$A,$A22)</f>
        <v/>
      </c>
      <c r="J22" s="2">
        <f>SUMIFS(Grades!$L:$L,Grades!$A:$A,$A22)</f>
        <v/>
      </c>
    </row>
    <row r="23">
      <c r="A23" s="2" t="inlineStr">
        <is>
          <t>m250304</t>
        </is>
      </c>
      <c r="B23" s="2">
        <f>VLOOKUP(A23,Students!$A:$B,2,FALSE)</f>
        <v/>
      </c>
      <c r="C23" s="2">
        <f>VLOOKUP(A23,Students!$A:$E,5,FALSE)</f>
        <v/>
      </c>
      <c r="D23" s="2">
        <f>IFERROR(ROUND(SUMIFS(Grades!$K:$K,Grades!$A:$A,$A23,Grades!$C:$C,"Fall 2024")/SUMIFS(Grades!$G:$G,Grades!$A:$A,$A23,Grades!$C:$C,"Fall 2024"),2),"")</f>
        <v/>
      </c>
      <c r="E23" s="2">
        <f>IFERROR(ROUND(SUMIFS(Grades!$K:$K,Grades!$A:$A,$A23,Grades!$C:$C,"Spring 2025")/SUMIFS(Grades!$G:$G,Grades!$A:$A,$A23,Grades!$C:$C,"Spring 2025"),2),"")</f>
        <v/>
      </c>
      <c r="F23" s="2">
        <f>IFERROR(ROUND(SUMIFS(Grades!$K:$K,Grades!$A:$A,$A23,Grades!$C:$C,"Fall 2025")/SUMIFS(Grades!$G:$G,Grades!$A:$A,$A23,Grades!$C:$C,"Fall 2025"),2),"")</f>
        <v/>
      </c>
      <c r="G23" s="2">
        <f>IFERROR(ROUND(SUMIFS(Grades!$K:$K,Grades!$A:$A,$A23,Grades!$C:$C,"Spring 2026")/SUMIFS(Grades!$G:$G,Grades!$A:$A,$A23,Grades!$C:$C,"Spring 2026"),2),"")</f>
        <v/>
      </c>
      <c r="H23" s="2">
        <f>IFERROR(ROUND(SUMIFS(Grades!$K:$K,Grades!$A:$A,$A23)/SUMIFS(Grades!$G:$G,Grades!$A:$A,$A23),2),"")</f>
        <v/>
      </c>
      <c r="I23" s="2">
        <f>SUMIFS(Grades!$G:$G,Grades!$A:$A,$A23)</f>
        <v/>
      </c>
      <c r="J23" s="2">
        <f>SUMIFS(Grades!$L:$L,Grades!$A:$A,$A23)</f>
        <v/>
      </c>
    </row>
    <row r="24">
      <c r="A24" s="2" t="inlineStr">
        <is>
          <t>m250305</t>
        </is>
      </c>
      <c r="B24" s="2">
        <f>VLOOKUP(A24,Students!$A:$B,2,FALSE)</f>
        <v/>
      </c>
      <c r="C24" s="2">
        <f>VLOOKUP(A24,Students!$A:$E,5,FALSE)</f>
        <v/>
      </c>
      <c r="D24" s="2">
        <f>IFERROR(ROUND(SUMIFS(Grades!$K:$K,Grades!$A:$A,$A24,Grades!$C:$C,"Fall 2024")/SUMIFS(Grades!$G:$G,Grades!$A:$A,$A24,Grades!$C:$C,"Fall 2024"),2),"")</f>
        <v/>
      </c>
      <c r="E24" s="2">
        <f>IFERROR(ROUND(SUMIFS(Grades!$K:$K,Grades!$A:$A,$A24,Grades!$C:$C,"Spring 2025")/SUMIFS(Grades!$G:$G,Grades!$A:$A,$A24,Grades!$C:$C,"Spring 2025"),2),"")</f>
        <v/>
      </c>
      <c r="F24" s="2">
        <f>IFERROR(ROUND(SUMIFS(Grades!$K:$K,Grades!$A:$A,$A24,Grades!$C:$C,"Fall 2025")/SUMIFS(Grades!$G:$G,Grades!$A:$A,$A24,Grades!$C:$C,"Fall 2025"),2),"")</f>
        <v/>
      </c>
      <c r="G24" s="2">
        <f>IFERROR(ROUND(SUMIFS(Grades!$K:$K,Grades!$A:$A,$A24,Grades!$C:$C,"Spring 2026")/SUMIFS(Grades!$G:$G,Grades!$A:$A,$A24,Grades!$C:$C,"Spring 2026"),2),"")</f>
        <v/>
      </c>
      <c r="H24" s="2">
        <f>IFERROR(ROUND(SUMIFS(Grades!$K:$K,Grades!$A:$A,$A24)/SUMIFS(Grades!$G:$G,Grades!$A:$A,$A24),2),"")</f>
        <v/>
      </c>
      <c r="I24" s="2">
        <f>SUMIFS(Grades!$G:$G,Grades!$A:$A,$A24)</f>
        <v/>
      </c>
      <c r="J24" s="2">
        <f>SUMIFS(Grades!$L:$L,Grades!$A:$A,$A24)</f>
        <v/>
      </c>
    </row>
    <row r="25">
      <c r="A25" s="2" t="inlineStr">
        <is>
          <t>m250306</t>
        </is>
      </c>
      <c r="B25" s="2">
        <f>VLOOKUP(A25,Students!$A:$B,2,FALSE)</f>
        <v/>
      </c>
      <c r="C25" s="2">
        <f>VLOOKUP(A25,Students!$A:$E,5,FALSE)</f>
        <v/>
      </c>
      <c r="D25" s="2">
        <f>IFERROR(ROUND(SUMIFS(Grades!$K:$K,Grades!$A:$A,$A25,Grades!$C:$C,"Fall 2024")/SUMIFS(Grades!$G:$G,Grades!$A:$A,$A25,Grades!$C:$C,"Fall 2024"),2),"")</f>
        <v/>
      </c>
      <c r="E25" s="2">
        <f>IFERROR(ROUND(SUMIFS(Grades!$K:$K,Grades!$A:$A,$A25,Grades!$C:$C,"Spring 2025")/SUMIFS(Grades!$G:$G,Grades!$A:$A,$A25,Grades!$C:$C,"Spring 2025"),2),"")</f>
        <v/>
      </c>
      <c r="F25" s="2">
        <f>IFERROR(ROUND(SUMIFS(Grades!$K:$K,Grades!$A:$A,$A25,Grades!$C:$C,"Fall 2025")/SUMIFS(Grades!$G:$G,Grades!$A:$A,$A25,Grades!$C:$C,"Fall 2025"),2),"")</f>
        <v/>
      </c>
      <c r="G25" s="2">
        <f>IFERROR(ROUND(SUMIFS(Grades!$K:$K,Grades!$A:$A,$A25,Grades!$C:$C,"Spring 2026")/SUMIFS(Grades!$G:$G,Grades!$A:$A,$A25,Grades!$C:$C,"Spring 2026"),2),"")</f>
        <v/>
      </c>
      <c r="H25" s="2">
        <f>IFERROR(ROUND(SUMIFS(Grades!$K:$K,Grades!$A:$A,$A25)/SUMIFS(Grades!$G:$G,Grades!$A:$A,$A25),2),"")</f>
        <v/>
      </c>
      <c r="I25" s="2">
        <f>SUMIFS(Grades!$G:$G,Grades!$A:$A,$A25)</f>
        <v/>
      </c>
      <c r="J25" s="2">
        <f>SUMIFS(Grades!$L:$L,Grades!$A:$A,$A25)</f>
        <v/>
      </c>
    </row>
  </sheetData>
  <autoFilter ref="A1:J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2026-10-11T14:08:11Z</dcterms:created>
  <dcterms:modified xmlns:dcterms="http://purl.org/dc/terms/" xmlns:xsi="http://www.w3.org/2001/XMLSchema-instance" xsi:type="dcterms:W3CDTF">2026-10-11T14:08:11Z</dcterms:modified>
</cp:coreProperties>
</file>