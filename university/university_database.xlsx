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ents" sheetId="1" state="visible" r:id="rId1"/>
    <sheet xmlns:r="http://schemas.openxmlformats.org/officeDocument/2006/relationships" name="Courses" sheetId="2" state="visible" r:id="rId2"/>
    <sheet xmlns:r="http://schemas.openxmlformats.org/officeDocument/2006/relationships" name="Grades" sheetId="3" state="visible" r:id="rId3"/>
    <sheet xmlns:r="http://schemas.openxmlformats.org/officeDocument/2006/relationships" name="Grade Scale" sheetId="4" state="visible" r:id="rId4"/>
    <sheet xmlns:r="http://schemas.openxmlformats.org/officeDocument/2006/relationships" name="GPA Summary" sheetId="5" state="visible" r:id="rId5"/>
  </sheets>
  <definedNames>
    <definedName name="_xlnm._FilterDatabase" localSheetId="0" hidden="1">'Students'!$A$1:$H$51</definedName>
    <definedName name="_xlnm._FilterDatabase" localSheetId="1" hidden="1">'Courses'!$A$1:$C$154</definedName>
    <definedName name="_xlnm._FilterDatabase" localSheetId="2" hidden="1">'Grades'!$A$1:$L$746</definedName>
    <definedName name="_xlnm._FilterDatabase" localSheetId="3" hidden="1">'Grade Scale'!$A$1:$D$12</definedName>
    <definedName name="_xlnm._FilterDatabase" localSheetId="4" hidden="1">'GPA Summary'!$A$1:$J$51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4D"/>
      </patternFill>
    </fill>
  </fills>
  <borders count="2">
    <border>
      <left/>
      <right/>
      <top/>
      <bottom/>
      <diagonal/>
    </border>
    <border>
      <left style="thin">
        <color rgb="00D9D2C3"/>
      </left>
      <right style="thin">
        <color rgb="00D9D2C3"/>
      </right>
      <top style="thin">
        <color rgb="00D9D2C3"/>
      </top>
      <bottom style="thin">
        <color rgb="00D9D2C3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28" customWidth="1" min="3" max="3"/>
    <col width="30" customWidth="1" min="4" max="4"/>
    <col width="36" customWidth="1" min="5" max="5"/>
    <col width="10" customWidth="1" min="6" max="6"/>
    <col width="15" customWidth="1" min="7" max="7"/>
    <col width="11" customWidth="1" min="8" max="8"/>
  </cols>
  <sheetData>
    <row r="1" ht="30" customHeight="1">
      <c r="A1" s="1" t="inlineStr">
        <is>
          <t>Student ID</t>
        </is>
      </c>
      <c r="B1" s="1" t="inlineStr">
        <is>
          <t>Full Name</t>
        </is>
      </c>
      <c r="C1" s="1" t="inlineStr">
        <is>
          <t>University Email</t>
        </is>
      </c>
      <c r="D1" s="1" t="inlineStr">
        <is>
          <t>Faculty</t>
        </is>
      </c>
      <c r="E1" s="1" t="inlineStr">
        <is>
          <t>Program</t>
        </is>
      </c>
      <c r="F1" s="1" t="inlineStr">
        <is>
          <t>Level</t>
        </is>
      </c>
      <c r="G1" s="1" t="inlineStr">
        <is>
          <t>Enrollment Date</t>
        </is>
      </c>
      <c r="H1" s="1" t="inlineStr">
        <is>
          <t>Status</t>
        </is>
      </c>
    </row>
    <row r="2">
      <c r="A2" s="2" t="inlineStr">
        <is>
          <t>m240101</t>
        </is>
      </c>
      <c r="B2" s="2" t="inlineStr">
        <is>
          <t>Aziza Karimova</t>
        </is>
      </c>
      <c r="C2" s="2" t="inlineStr">
        <is>
          <t>akarimova@uad.edu</t>
        </is>
      </c>
      <c r="D2" s="2" t="inlineStr">
        <is>
          <t>Faculty of Business</t>
        </is>
      </c>
      <c r="E2" s="2" t="inlineStr">
        <is>
          <t>Master of Global Management</t>
        </is>
      </c>
      <c r="F2" s="2" t="inlineStr">
        <is>
          <t>Master</t>
        </is>
      </c>
      <c r="G2" s="2" t="inlineStr">
        <is>
          <t>Fall 2024</t>
        </is>
      </c>
      <c r="H2" s="2" t="inlineStr">
        <is>
          <t>Active</t>
        </is>
      </c>
    </row>
    <row r="3">
      <c r="A3" s="2" t="inlineStr">
        <is>
          <t>m240102</t>
        </is>
      </c>
      <c r="B3" s="2" t="inlineStr">
        <is>
          <t>Rustam Nazarov</t>
        </is>
      </c>
      <c r="C3" s="2" t="inlineStr">
        <is>
          <t>rnazarov@uad.edu</t>
        </is>
      </c>
      <c r="D3" s="2" t="inlineStr">
        <is>
          <t>Faculty of Business</t>
        </is>
      </c>
      <c r="E3" s="2" t="inlineStr">
        <is>
          <t>Master of Global Management</t>
        </is>
      </c>
      <c r="F3" s="2" t="inlineStr">
        <is>
          <t>Master</t>
        </is>
      </c>
      <c r="G3" s="2" t="inlineStr">
        <is>
          <t>Fall 2024</t>
        </is>
      </c>
      <c r="H3" s="2" t="inlineStr">
        <is>
          <t>Active</t>
        </is>
      </c>
    </row>
    <row r="4">
      <c r="A4" s="2" t="inlineStr">
        <is>
          <t>m240103</t>
        </is>
      </c>
      <c r="B4" s="2" t="inlineStr">
        <is>
          <t>Shahzoda Ergasheva</t>
        </is>
      </c>
      <c r="C4" s="2" t="inlineStr">
        <is>
          <t>sergasheva@uad.edu</t>
        </is>
      </c>
      <c r="D4" s="2" t="inlineStr">
        <is>
          <t>Faculty of Business</t>
        </is>
      </c>
      <c r="E4" s="2" t="inlineStr">
        <is>
          <t>Master of Business Administration</t>
        </is>
      </c>
      <c r="F4" s="2" t="inlineStr">
        <is>
          <t>Master</t>
        </is>
      </c>
      <c r="G4" s="2" t="inlineStr">
        <is>
          <t>Fall 2024</t>
        </is>
      </c>
      <c r="H4" s="2" t="inlineStr">
        <is>
          <t>Active</t>
        </is>
      </c>
    </row>
    <row r="5">
      <c r="A5" s="2" t="inlineStr">
        <is>
          <t>m240104</t>
        </is>
      </c>
      <c r="B5" s="2" t="inlineStr">
        <is>
          <t>Timur Abdullaev</t>
        </is>
      </c>
      <c r="C5" s="2" t="inlineStr">
        <is>
          <t>tabdullaev@uad.edu</t>
        </is>
      </c>
      <c r="D5" s="2" t="inlineStr">
        <is>
          <t>Faculty of Computer Science</t>
        </is>
      </c>
      <c r="E5" s="2" t="inlineStr">
        <is>
          <t>Bachelor of Software Engineering</t>
        </is>
      </c>
      <c r="F5" s="2" t="inlineStr">
        <is>
          <t>Bachelor</t>
        </is>
      </c>
      <c r="G5" s="2" t="inlineStr">
        <is>
          <t>Fall 2024</t>
        </is>
      </c>
      <c r="H5" s="2" t="inlineStr">
        <is>
          <t>Active</t>
        </is>
      </c>
    </row>
    <row r="6">
      <c r="A6" s="2" t="inlineStr">
        <is>
          <t>m240105</t>
        </is>
      </c>
      <c r="B6" s="2" t="inlineStr">
        <is>
          <t>Malika Usmonova</t>
        </is>
      </c>
      <c r="C6" s="2" t="inlineStr">
        <is>
          <t>musmonova@uad.edu</t>
        </is>
      </c>
      <c r="D6" s="2" t="inlineStr">
        <is>
          <t>Faculty of Computer Science</t>
        </is>
      </c>
      <c r="E6" s="2" t="inlineStr">
        <is>
          <t>Master of Data Science</t>
        </is>
      </c>
      <c r="F6" s="2" t="inlineStr">
        <is>
          <t>Master</t>
        </is>
      </c>
      <c r="G6" s="2" t="inlineStr">
        <is>
          <t>Fall 2024</t>
        </is>
      </c>
      <c r="H6" s="2" t="inlineStr">
        <is>
          <t>Active</t>
        </is>
      </c>
    </row>
    <row r="7">
      <c r="A7" s="2" t="inlineStr">
        <is>
          <t>m240106</t>
        </is>
      </c>
      <c r="B7" s="2" t="inlineStr">
        <is>
          <t>Bobur Rakhmonov</t>
        </is>
      </c>
      <c r="C7" s="2" t="inlineStr">
        <is>
          <t>brakhmonov@uad.edu</t>
        </is>
      </c>
      <c r="D7" s="2" t="inlineStr">
        <is>
          <t>Faculty of Economics &amp; Finance</t>
        </is>
      </c>
      <c r="E7" s="2" t="inlineStr">
        <is>
          <t>Bachelor of Finance</t>
        </is>
      </c>
      <c r="F7" s="2" t="inlineStr">
        <is>
          <t>Bachelor</t>
        </is>
      </c>
      <c r="G7" s="2" t="inlineStr">
        <is>
          <t>Fall 2024</t>
        </is>
      </c>
      <c r="H7" s="2" t="inlineStr">
        <is>
          <t>On Leave</t>
        </is>
      </c>
    </row>
    <row r="8">
      <c r="A8" s="2" t="inlineStr">
        <is>
          <t>m240107</t>
        </is>
      </c>
      <c r="B8" s="2" t="inlineStr">
        <is>
          <t>Kamila Sharipova</t>
        </is>
      </c>
      <c r="C8" s="2" t="inlineStr">
        <is>
          <t>ksharipova@uad.edu</t>
        </is>
      </c>
      <c r="D8" s="2" t="inlineStr">
        <is>
          <t>Faculty of Social Sciences</t>
        </is>
      </c>
      <c r="E8" s="2" t="inlineStr">
        <is>
          <t>Master of International Relations</t>
        </is>
      </c>
      <c r="F8" s="2" t="inlineStr">
        <is>
          <t>Master</t>
        </is>
      </c>
      <c r="G8" s="2" t="inlineStr">
        <is>
          <t>Fall 2024</t>
        </is>
      </c>
      <c r="H8" s="2" t="inlineStr">
        <is>
          <t>Active</t>
        </is>
      </c>
    </row>
    <row r="9">
      <c r="A9" s="2" t="inlineStr">
        <is>
          <t>m240108</t>
        </is>
      </c>
      <c r="B9" s="2" t="inlineStr">
        <is>
          <t>Doniyor Kholmatov</t>
        </is>
      </c>
      <c r="C9" s="2" t="inlineStr">
        <is>
          <t>dkholmatov@uad.edu</t>
        </is>
      </c>
      <c r="D9" s="2" t="inlineStr">
        <is>
          <t>Faculty of Engineering</t>
        </is>
      </c>
      <c r="E9" s="2" t="inlineStr">
        <is>
          <t>Bachelor of Civil Engineering</t>
        </is>
      </c>
      <c r="F9" s="2" t="inlineStr">
        <is>
          <t>Bachelor</t>
        </is>
      </c>
      <c r="G9" s="2" t="inlineStr">
        <is>
          <t>Fall 2024</t>
        </is>
      </c>
      <c r="H9" s="2" t="inlineStr">
        <is>
          <t>Active</t>
        </is>
      </c>
    </row>
    <row r="10">
      <c r="A10" s="2" t="inlineStr">
        <is>
          <t>m250201</t>
        </is>
      </c>
      <c r="B10" s="2" t="inlineStr">
        <is>
          <t>Alisher Juraev</t>
        </is>
      </c>
      <c r="C10" s="2" t="inlineStr">
        <is>
          <t>ajuraev@uad.edu</t>
        </is>
      </c>
      <c r="D10" s="2" t="inlineStr">
        <is>
          <t>Faculty of Computer Science</t>
        </is>
      </c>
      <c r="E10" s="2" t="inlineStr">
        <is>
          <t>Bachelor of Software Engineering</t>
        </is>
      </c>
      <c r="F10" s="2" t="inlineStr">
        <is>
          <t>Bachelor</t>
        </is>
      </c>
      <c r="G10" s="2" t="inlineStr">
        <is>
          <t>Spring 2025</t>
        </is>
      </c>
      <c r="H10" s="2" t="inlineStr">
        <is>
          <t>Active</t>
        </is>
      </c>
    </row>
    <row r="11">
      <c r="A11" s="2" t="inlineStr">
        <is>
          <t>m250202</t>
        </is>
      </c>
      <c r="B11" s="2" t="inlineStr">
        <is>
          <t>Fariza Yunusova</t>
        </is>
      </c>
      <c r="C11" s="2" t="inlineStr">
        <is>
          <t>fyunusova@uad.edu</t>
        </is>
      </c>
      <c r="D11" s="2" t="inlineStr">
        <is>
          <t>Faculty of Business</t>
        </is>
      </c>
      <c r="E11" s="2" t="inlineStr">
        <is>
          <t>Master of Business Administration</t>
        </is>
      </c>
      <c r="F11" s="2" t="inlineStr">
        <is>
          <t>Master</t>
        </is>
      </c>
      <c r="G11" s="2" t="inlineStr">
        <is>
          <t>Spring 2025</t>
        </is>
      </c>
      <c r="H11" s="2" t="inlineStr">
        <is>
          <t>Active</t>
        </is>
      </c>
    </row>
    <row r="12">
      <c r="A12" s="2" t="inlineStr">
        <is>
          <t>m250203</t>
        </is>
      </c>
      <c r="B12" s="2" t="inlineStr">
        <is>
          <t>Sardor Tursunov</t>
        </is>
      </c>
      <c r="C12" s="2" t="inlineStr">
        <is>
          <t>stursunov@uad.edu</t>
        </is>
      </c>
      <c r="D12" s="2" t="inlineStr">
        <is>
          <t>Faculty of Business</t>
        </is>
      </c>
      <c r="E12" s="2" t="inlineStr">
        <is>
          <t>Master of Global Management</t>
        </is>
      </c>
      <c r="F12" s="2" t="inlineStr">
        <is>
          <t>Master</t>
        </is>
      </c>
      <c r="G12" s="2" t="inlineStr">
        <is>
          <t>Spring 2025</t>
        </is>
      </c>
      <c r="H12" s="2" t="inlineStr">
        <is>
          <t>Active</t>
        </is>
      </c>
    </row>
    <row r="13">
      <c r="A13" s="2" t="inlineStr">
        <is>
          <t>m250204</t>
        </is>
      </c>
      <c r="B13" s="2" t="inlineStr">
        <is>
          <t>Madina Rakhimova</t>
        </is>
      </c>
      <c r="C13" s="2" t="inlineStr">
        <is>
          <t>mrakhimova@uad.edu</t>
        </is>
      </c>
      <c r="D13" s="2" t="inlineStr">
        <is>
          <t>Faculty of Economics &amp; Finance</t>
        </is>
      </c>
      <c r="E13" s="2" t="inlineStr">
        <is>
          <t>Bachelor of Finance</t>
        </is>
      </c>
      <c r="F13" s="2" t="inlineStr">
        <is>
          <t>Bachelor</t>
        </is>
      </c>
      <c r="G13" s="2" t="inlineStr">
        <is>
          <t>Spring 2025</t>
        </is>
      </c>
      <c r="H13" s="2" t="inlineStr">
        <is>
          <t>Active</t>
        </is>
      </c>
    </row>
    <row r="14">
      <c r="A14" s="2" t="inlineStr">
        <is>
          <t>m250205</t>
        </is>
      </c>
      <c r="B14" s="2" t="inlineStr">
        <is>
          <t>Otabek Kalandarov</t>
        </is>
      </c>
      <c r="C14" s="2" t="inlineStr">
        <is>
          <t>okalandarov@uad.edu</t>
        </is>
      </c>
      <c r="D14" s="2" t="inlineStr">
        <is>
          <t>Faculty of Computer Science</t>
        </is>
      </c>
      <c r="E14" s="2" t="inlineStr">
        <is>
          <t>Master of Data Science</t>
        </is>
      </c>
      <c r="F14" s="2" t="inlineStr">
        <is>
          <t>Master</t>
        </is>
      </c>
      <c r="G14" s="2" t="inlineStr">
        <is>
          <t>Spring 2025</t>
        </is>
      </c>
      <c r="H14" s="2" t="inlineStr">
        <is>
          <t>Active</t>
        </is>
      </c>
    </row>
    <row r="15">
      <c r="A15" s="2" t="inlineStr">
        <is>
          <t>m250206</t>
        </is>
      </c>
      <c r="B15" s="2" t="inlineStr">
        <is>
          <t>Zarina Ismoilova</t>
        </is>
      </c>
      <c r="C15" s="2" t="inlineStr">
        <is>
          <t>zismoilova@uad.edu</t>
        </is>
      </c>
      <c r="D15" s="2" t="inlineStr">
        <is>
          <t>Faculty of Social Sciences</t>
        </is>
      </c>
      <c r="E15" s="2" t="inlineStr">
        <is>
          <t>Master of International Relations</t>
        </is>
      </c>
      <c r="F15" s="2" t="inlineStr">
        <is>
          <t>Master</t>
        </is>
      </c>
      <c r="G15" s="2" t="inlineStr">
        <is>
          <t>Spring 2025</t>
        </is>
      </c>
      <c r="H15" s="2" t="inlineStr">
        <is>
          <t>Active</t>
        </is>
      </c>
    </row>
    <row r="16">
      <c r="A16" s="2" t="inlineStr">
        <is>
          <t>m250207</t>
        </is>
      </c>
      <c r="B16" s="2" t="inlineStr">
        <is>
          <t>Jamshidbek Mirzayev</t>
        </is>
      </c>
      <c r="C16" s="2" t="inlineStr">
        <is>
          <t>jmirzayev@uad.edu</t>
        </is>
      </c>
      <c r="D16" s="2" t="inlineStr">
        <is>
          <t>Faculty of Engineering</t>
        </is>
      </c>
      <c r="E16" s="2" t="inlineStr">
        <is>
          <t>Bachelor of Civil Engineering</t>
        </is>
      </c>
      <c r="F16" s="2" t="inlineStr">
        <is>
          <t>Bachelor</t>
        </is>
      </c>
      <c r="G16" s="2" t="inlineStr">
        <is>
          <t>Spring 2025</t>
        </is>
      </c>
      <c r="H16" s="2" t="inlineStr">
        <is>
          <t>Active</t>
        </is>
      </c>
    </row>
    <row r="17">
      <c r="A17" s="2" t="inlineStr">
        <is>
          <t>m250208</t>
        </is>
      </c>
      <c r="B17" s="2" t="inlineStr">
        <is>
          <t>Nigina Khasanova</t>
        </is>
      </c>
      <c r="C17" s="2" t="inlineStr">
        <is>
          <t>nkhasanova@uad.edu</t>
        </is>
      </c>
      <c r="D17" s="2" t="inlineStr">
        <is>
          <t>Faculty of Arts &amp; Design</t>
        </is>
      </c>
      <c r="E17" s="2" t="inlineStr">
        <is>
          <t>Bachelor of Graphic Design</t>
        </is>
      </c>
      <c r="F17" s="2" t="inlineStr">
        <is>
          <t>Bachelor</t>
        </is>
      </c>
      <c r="G17" s="2" t="inlineStr">
        <is>
          <t>Spring 2025</t>
        </is>
      </c>
      <c r="H17" s="2" t="inlineStr">
        <is>
          <t>Active</t>
        </is>
      </c>
    </row>
    <row r="18">
      <c r="A18" s="2" t="inlineStr">
        <is>
          <t>m250209</t>
        </is>
      </c>
      <c r="B18" s="2" t="inlineStr">
        <is>
          <t>Bekzod Akhmedov</t>
        </is>
      </c>
      <c r="C18" s="2" t="inlineStr">
        <is>
          <t>bakhmedov@uad.edu</t>
        </is>
      </c>
      <c r="D18" s="2" t="inlineStr">
        <is>
          <t>Faculty of Economics &amp; Finance</t>
        </is>
      </c>
      <c r="E18" s="2" t="inlineStr">
        <is>
          <t>Bachelor of Finance</t>
        </is>
      </c>
      <c r="F18" s="2" t="inlineStr">
        <is>
          <t>Bachelor</t>
        </is>
      </c>
      <c r="G18" s="2" t="inlineStr">
        <is>
          <t>Spring 2025</t>
        </is>
      </c>
      <c r="H18" s="2" t="inlineStr">
        <is>
          <t>Active</t>
        </is>
      </c>
    </row>
    <row r="19">
      <c r="A19" s="2" t="inlineStr">
        <is>
          <t>m250210</t>
        </is>
      </c>
      <c r="B19" s="2" t="inlineStr">
        <is>
          <t>Dilshoda Matyakubova</t>
        </is>
      </c>
      <c r="C19" s="2" t="inlineStr">
        <is>
          <t>dmatyakubova@uad.edu</t>
        </is>
      </c>
      <c r="D19" s="2" t="inlineStr">
        <is>
          <t>Faculty of Social Sciences</t>
        </is>
      </c>
      <c r="E19" s="2" t="inlineStr">
        <is>
          <t>Master of International Relations</t>
        </is>
      </c>
      <c r="F19" s="2" t="inlineStr">
        <is>
          <t>Master</t>
        </is>
      </c>
      <c r="G19" s="2" t="inlineStr">
        <is>
          <t>Spring 2025</t>
        </is>
      </c>
      <c r="H19" s="2" t="inlineStr">
        <is>
          <t>Active</t>
        </is>
      </c>
    </row>
    <row r="20">
      <c r="A20" s="2" t="inlineStr">
        <is>
          <t>m250301</t>
        </is>
      </c>
      <c r="B20" s="2" t="inlineStr">
        <is>
          <t>Javohir Saidov</t>
        </is>
      </c>
      <c r="C20" s="2" t="inlineStr">
        <is>
          <t>jsaidov@uad.edu</t>
        </is>
      </c>
      <c r="D20" s="2" t="inlineStr">
        <is>
          <t>Faculty of Computer Science</t>
        </is>
      </c>
      <c r="E20" s="2" t="inlineStr">
        <is>
          <t>Bachelor of Software Engineering</t>
        </is>
      </c>
      <c r="F20" s="2" t="inlineStr">
        <is>
          <t>Bachelor</t>
        </is>
      </c>
      <c r="G20" s="2" t="inlineStr">
        <is>
          <t>Fall 2025</t>
        </is>
      </c>
      <c r="H20" s="2" t="inlineStr">
        <is>
          <t>Active</t>
        </is>
      </c>
    </row>
    <row r="21">
      <c r="A21" s="2" t="inlineStr">
        <is>
          <t>m250302</t>
        </is>
      </c>
      <c r="B21" s="2" t="inlineStr">
        <is>
          <t>Laylo Mamatova</t>
        </is>
      </c>
      <c r="C21" s="2" t="inlineStr">
        <is>
          <t>lmamatova@uad.edu</t>
        </is>
      </c>
      <c r="D21" s="2" t="inlineStr">
        <is>
          <t>Faculty of Arts &amp; Design</t>
        </is>
      </c>
      <c r="E21" s="2" t="inlineStr">
        <is>
          <t>Bachelor of Graphic Design</t>
        </is>
      </c>
      <c r="F21" s="2" t="inlineStr">
        <is>
          <t>Bachelor</t>
        </is>
      </c>
      <c r="G21" s="2" t="inlineStr">
        <is>
          <t>Fall 2025</t>
        </is>
      </c>
      <c r="H21" s="2" t="inlineStr">
        <is>
          <t>Active</t>
        </is>
      </c>
    </row>
    <row r="22">
      <c r="A22" s="2" t="inlineStr">
        <is>
          <t>m250303</t>
        </is>
      </c>
      <c r="B22" s="2" t="inlineStr">
        <is>
          <t>Sherzod Ibragimov</t>
        </is>
      </c>
      <c r="C22" s="2" t="inlineStr">
        <is>
          <t>sibragimov@uad.edu</t>
        </is>
      </c>
      <c r="D22" s="2" t="inlineStr">
        <is>
          <t>Faculty of Business</t>
        </is>
      </c>
      <c r="E22" s="2" t="inlineStr">
        <is>
          <t>Master of Global Management</t>
        </is>
      </c>
      <c r="F22" s="2" t="inlineStr">
        <is>
          <t>Master</t>
        </is>
      </c>
      <c r="G22" s="2" t="inlineStr">
        <is>
          <t>Fall 2025</t>
        </is>
      </c>
      <c r="H22" s="2" t="inlineStr">
        <is>
          <t>Active</t>
        </is>
      </c>
    </row>
    <row r="23">
      <c r="A23" s="2" t="inlineStr">
        <is>
          <t>m250304</t>
        </is>
      </c>
      <c r="B23" s="2" t="inlineStr">
        <is>
          <t>Gulnora Tojiboeva</t>
        </is>
      </c>
      <c r="C23" s="2" t="inlineStr">
        <is>
          <t>gtojiboeva@uad.edu</t>
        </is>
      </c>
      <c r="D23" s="2" t="inlineStr">
        <is>
          <t>Faculty of Business</t>
        </is>
      </c>
      <c r="E23" s="2" t="inlineStr">
        <is>
          <t>Master of Business Administration</t>
        </is>
      </c>
      <c r="F23" s="2" t="inlineStr">
        <is>
          <t>Master</t>
        </is>
      </c>
      <c r="G23" s="2" t="inlineStr">
        <is>
          <t>Fall 2025</t>
        </is>
      </c>
      <c r="H23" s="2" t="inlineStr">
        <is>
          <t>Active</t>
        </is>
      </c>
    </row>
    <row r="24">
      <c r="A24" s="2" t="inlineStr">
        <is>
          <t>m250305</t>
        </is>
      </c>
      <c r="B24" s="2" t="inlineStr">
        <is>
          <t>Ulugbek Normatov</t>
        </is>
      </c>
      <c r="C24" s="2" t="inlineStr">
        <is>
          <t>unormatov@uad.edu</t>
        </is>
      </c>
      <c r="D24" s="2" t="inlineStr">
        <is>
          <t>Faculty of Computer Science</t>
        </is>
      </c>
      <c r="E24" s="2" t="inlineStr">
        <is>
          <t>Master of Data Science</t>
        </is>
      </c>
      <c r="F24" s="2" t="inlineStr">
        <is>
          <t>Master</t>
        </is>
      </c>
      <c r="G24" s="2" t="inlineStr">
        <is>
          <t>Fall 2025</t>
        </is>
      </c>
      <c r="H24" s="2" t="inlineStr">
        <is>
          <t>Active</t>
        </is>
      </c>
    </row>
    <row r="25">
      <c r="A25" s="2" t="inlineStr">
        <is>
          <t>m250306</t>
        </is>
      </c>
      <c r="B25" s="2" t="inlineStr">
        <is>
          <t>Sevara Qodirova</t>
        </is>
      </c>
      <c r="C25" s="2" t="inlineStr">
        <is>
          <t>sqodirova@uad.edu</t>
        </is>
      </c>
      <c r="D25" s="2" t="inlineStr">
        <is>
          <t>Faculty of Engineering</t>
        </is>
      </c>
      <c r="E25" s="2" t="inlineStr">
        <is>
          <t>Bachelor of Civil Engineering</t>
        </is>
      </c>
      <c r="F25" s="2" t="inlineStr">
        <is>
          <t>Bachelor</t>
        </is>
      </c>
      <c r="G25" s="2" t="inlineStr">
        <is>
          <t>Fall 2025</t>
        </is>
      </c>
      <c r="H25" s="2" t="inlineStr">
        <is>
          <t>Active</t>
        </is>
      </c>
    </row>
    <row r="26">
      <c r="A26" s="2" t="inlineStr">
        <is>
          <t>m240109</t>
        </is>
      </c>
      <c r="B26" s="2" t="inlineStr">
        <is>
          <t>Akmal Alimov</t>
        </is>
      </c>
      <c r="C26" s="2" t="inlineStr">
        <is>
          <t>aalimov@uad.edu</t>
        </is>
      </c>
      <c r="D26" s="2" t="inlineStr">
        <is>
          <t>Faculty of Business</t>
        </is>
      </c>
      <c r="E26" s="2" t="inlineStr">
        <is>
          <t>Master of Global Management</t>
        </is>
      </c>
      <c r="F26" s="2" t="inlineStr">
        <is>
          <t>Master</t>
        </is>
      </c>
      <c r="G26" s="2" t="inlineStr">
        <is>
          <t>Fall 2024</t>
        </is>
      </c>
      <c r="H26" s="2" t="inlineStr">
        <is>
          <t>Active</t>
        </is>
      </c>
    </row>
    <row r="27">
      <c r="A27" s="2" t="inlineStr">
        <is>
          <t>m250211</t>
        </is>
      </c>
      <c r="B27" s="2" t="inlineStr">
        <is>
          <t>Barno Botirova</t>
        </is>
      </c>
      <c r="C27" s="2" t="inlineStr">
        <is>
          <t>bbotirova@uad.edu</t>
        </is>
      </c>
      <c r="D27" s="2" t="inlineStr">
        <is>
          <t>Faculty of Business</t>
        </is>
      </c>
      <c r="E27" s="2" t="inlineStr">
        <is>
          <t>Master of Business Administration</t>
        </is>
      </c>
      <c r="F27" s="2" t="inlineStr">
        <is>
          <t>Master</t>
        </is>
      </c>
      <c r="G27" s="2" t="inlineStr">
        <is>
          <t>Spring 2025</t>
        </is>
      </c>
      <c r="H27" s="2" t="inlineStr">
        <is>
          <t>Active</t>
        </is>
      </c>
    </row>
    <row r="28">
      <c r="A28" s="2" t="inlineStr">
        <is>
          <t>m250307</t>
        </is>
      </c>
      <c r="B28" s="2" t="inlineStr">
        <is>
          <t>Bakhtiyor Davletov</t>
        </is>
      </c>
      <c r="C28" s="2" t="inlineStr">
        <is>
          <t>bdavletov@uad.edu</t>
        </is>
      </c>
      <c r="D28" s="2" t="inlineStr">
        <is>
          <t>Faculty of Computer Science</t>
        </is>
      </c>
      <c r="E28" s="2" t="inlineStr">
        <is>
          <t>Bachelor of Software Engineering</t>
        </is>
      </c>
      <c r="F28" s="2" t="inlineStr">
        <is>
          <t>Bachelor</t>
        </is>
      </c>
      <c r="G28" s="2" t="inlineStr">
        <is>
          <t>Fall 2025</t>
        </is>
      </c>
      <c r="H28" s="2" t="inlineStr">
        <is>
          <t>Active</t>
        </is>
      </c>
    </row>
    <row r="29">
      <c r="A29" s="2" t="inlineStr">
        <is>
          <t>m240110</t>
        </is>
      </c>
      <c r="B29" s="2" t="inlineStr">
        <is>
          <t>Dilnoza Fayzullaeva</t>
        </is>
      </c>
      <c r="C29" s="2" t="inlineStr">
        <is>
          <t>dfayzullaeva@uad.edu</t>
        </is>
      </c>
      <c r="D29" s="2" t="inlineStr">
        <is>
          <t>Faculty of Computer Science</t>
        </is>
      </c>
      <c r="E29" s="2" t="inlineStr">
        <is>
          <t>Master of Data Science</t>
        </is>
      </c>
      <c r="F29" s="2" t="inlineStr">
        <is>
          <t>Master</t>
        </is>
      </c>
      <c r="G29" s="2" t="inlineStr">
        <is>
          <t>Fall 2024</t>
        </is>
      </c>
      <c r="H29" s="2" t="inlineStr">
        <is>
          <t>Active</t>
        </is>
      </c>
    </row>
    <row r="30">
      <c r="A30" s="2" t="inlineStr">
        <is>
          <t>m250212</t>
        </is>
      </c>
      <c r="B30" s="2" t="inlineStr">
        <is>
          <t>Dilshod Gaybullaev</t>
        </is>
      </c>
      <c r="C30" s="2" t="inlineStr">
        <is>
          <t>dgaybullaev@uad.edu</t>
        </is>
      </c>
      <c r="D30" s="2" t="inlineStr">
        <is>
          <t>Faculty of Economics &amp; Finance</t>
        </is>
      </c>
      <c r="E30" s="2" t="inlineStr">
        <is>
          <t>Bachelor of Finance</t>
        </is>
      </c>
      <c r="F30" s="2" t="inlineStr">
        <is>
          <t>Bachelor</t>
        </is>
      </c>
      <c r="G30" s="2" t="inlineStr">
        <is>
          <t>Spring 2025</t>
        </is>
      </c>
      <c r="H30" s="2" t="inlineStr">
        <is>
          <t>Active</t>
        </is>
      </c>
    </row>
    <row r="31">
      <c r="A31" s="2" t="inlineStr">
        <is>
          <t>m250308</t>
        </is>
      </c>
      <c r="B31" s="2" t="inlineStr">
        <is>
          <t>Feruza Hamidova</t>
        </is>
      </c>
      <c r="C31" s="2" t="inlineStr">
        <is>
          <t>fhamidova@uad.edu</t>
        </is>
      </c>
      <c r="D31" s="2" t="inlineStr">
        <is>
          <t>Faculty of Social Sciences</t>
        </is>
      </c>
      <c r="E31" s="2" t="inlineStr">
        <is>
          <t>Master of International Relations</t>
        </is>
      </c>
      <c r="F31" s="2" t="inlineStr">
        <is>
          <t>Master</t>
        </is>
      </c>
      <c r="G31" s="2" t="inlineStr">
        <is>
          <t>Fall 2025</t>
        </is>
      </c>
      <c r="H31" s="2" t="inlineStr">
        <is>
          <t>Active</t>
        </is>
      </c>
    </row>
    <row r="32">
      <c r="A32" s="2" t="inlineStr">
        <is>
          <t>m240111</t>
        </is>
      </c>
      <c r="B32" s="2" t="inlineStr">
        <is>
          <t>Eldor Jalilov</t>
        </is>
      </c>
      <c r="C32" s="2" t="inlineStr">
        <is>
          <t>ejalilov@uad.edu</t>
        </is>
      </c>
      <c r="D32" s="2" t="inlineStr">
        <is>
          <t>Faculty of Engineering</t>
        </is>
      </c>
      <c r="E32" s="2" t="inlineStr">
        <is>
          <t>Bachelor of Civil Engineering</t>
        </is>
      </c>
      <c r="F32" s="2" t="inlineStr">
        <is>
          <t>Bachelor</t>
        </is>
      </c>
      <c r="G32" s="2" t="inlineStr">
        <is>
          <t>Fall 2024</t>
        </is>
      </c>
      <c r="H32" s="2" t="inlineStr">
        <is>
          <t>Active</t>
        </is>
      </c>
    </row>
    <row r="33">
      <c r="A33" s="2" t="inlineStr">
        <is>
          <t>m250213</t>
        </is>
      </c>
      <c r="B33" s="2" t="inlineStr">
        <is>
          <t>Guli Komilova</t>
        </is>
      </c>
      <c r="C33" s="2" t="inlineStr">
        <is>
          <t>gkomilova@uad.edu</t>
        </is>
      </c>
      <c r="D33" s="2" t="inlineStr">
        <is>
          <t>Faculty of Arts &amp; Design</t>
        </is>
      </c>
      <c r="E33" s="2" t="inlineStr">
        <is>
          <t>Bachelor of Graphic Design</t>
        </is>
      </c>
      <c r="F33" s="2" t="inlineStr">
        <is>
          <t>Bachelor</t>
        </is>
      </c>
      <c r="G33" s="2" t="inlineStr">
        <is>
          <t>Spring 2025</t>
        </is>
      </c>
      <c r="H33" s="2" t="inlineStr">
        <is>
          <t>On Leave</t>
        </is>
      </c>
    </row>
    <row r="34">
      <c r="A34" s="2" t="inlineStr">
        <is>
          <t>m250309</t>
        </is>
      </c>
      <c r="B34" s="2" t="inlineStr">
        <is>
          <t>Farrukh Latipov</t>
        </is>
      </c>
      <c r="C34" s="2" t="inlineStr">
        <is>
          <t>flatipov@uad.edu</t>
        </is>
      </c>
      <c r="D34" s="2" t="inlineStr">
        <is>
          <t>Faculty of Business</t>
        </is>
      </c>
      <c r="E34" s="2" t="inlineStr">
        <is>
          <t>Master of Global Management</t>
        </is>
      </c>
      <c r="F34" s="2" t="inlineStr">
        <is>
          <t>Master</t>
        </is>
      </c>
      <c r="G34" s="2" t="inlineStr">
        <is>
          <t>Fall 2025</t>
        </is>
      </c>
      <c r="H34" s="2" t="inlineStr">
        <is>
          <t>Active</t>
        </is>
      </c>
    </row>
    <row r="35">
      <c r="A35" s="2" t="inlineStr">
        <is>
          <t>m240112</t>
        </is>
      </c>
      <c r="B35" s="2" t="inlineStr">
        <is>
          <t>Iroda Musaeva</t>
        </is>
      </c>
      <c r="C35" s="2" t="inlineStr">
        <is>
          <t>imusaeva@uad.edu</t>
        </is>
      </c>
      <c r="D35" s="2" t="inlineStr">
        <is>
          <t>Faculty of Business</t>
        </is>
      </c>
      <c r="E35" s="2" t="inlineStr">
        <is>
          <t>Master of Business Administration</t>
        </is>
      </c>
      <c r="F35" s="2" t="inlineStr">
        <is>
          <t>Master</t>
        </is>
      </c>
      <c r="G35" s="2" t="inlineStr">
        <is>
          <t>Fall 2024</t>
        </is>
      </c>
      <c r="H35" s="2" t="inlineStr">
        <is>
          <t>Active</t>
        </is>
      </c>
    </row>
    <row r="36">
      <c r="A36" s="2" t="inlineStr">
        <is>
          <t>m250214</t>
        </is>
      </c>
      <c r="B36" s="2" t="inlineStr">
        <is>
          <t>Islom Nurmatov</t>
        </is>
      </c>
      <c r="C36" s="2" t="inlineStr">
        <is>
          <t>inurmatov@uad.edu</t>
        </is>
      </c>
      <c r="D36" s="2" t="inlineStr">
        <is>
          <t>Faculty of Computer Science</t>
        </is>
      </c>
      <c r="E36" s="2" t="inlineStr">
        <is>
          <t>Bachelor of Software Engineering</t>
        </is>
      </c>
      <c r="F36" s="2" t="inlineStr">
        <is>
          <t>Bachelor</t>
        </is>
      </c>
      <c r="G36" s="2" t="inlineStr">
        <is>
          <t>Spring 2025</t>
        </is>
      </c>
      <c r="H36" s="2" t="inlineStr">
        <is>
          <t>Active</t>
        </is>
      </c>
    </row>
    <row r="37">
      <c r="A37" s="2" t="inlineStr">
        <is>
          <t>m250310</t>
        </is>
      </c>
      <c r="B37" s="2" t="inlineStr">
        <is>
          <t>Kumush Pulatova</t>
        </is>
      </c>
      <c r="C37" s="2" t="inlineStr">
        <is>
          <t>kpulatova@uad.edu</t>
        </is>
      </c>
      <c r="D37" s="2" t="inlineStr">
        <is>
          <t>Faculty of Computer Science</t>
        </is>
      </c>
      <c r="E37" s="2" t="inlineStr">
        <is>
          <t>Master of Data Science</t>
        </is>
      </c>
      <c r="F37" s="2" t="inlineStr">
        <is>
          <t>Master</t>
        </is>
      </c>
      <c r="G37" s="2" t="inlineStr">
        <is>
          <t>Fall 2025</t>
        </is>
      </c>
      <c r="H37" s="2" t="inlineStr">
        <is>
          <t>Active</t>
        </is>
      </c>
    </row>
    <row r="38">
      <c r="A38" s="2" t="inlineStr">
        <is>
          <t>m240113</t>
        </is>
      </c>
      <c r="B38" s="2" t="inlineStr">
        <is>
          <t>Jasur Rasulov</t>
        </is>
      </c>
      <c r="C38" s="2" t="inlineStr">
        <is>
          <t>jrasulov@uad.edu</t>
        </is>
      </c>
      <c r="D38" s="2" t="inlineStr">
        <is>
          <t>Faculty of Economics &amp; Finance</t>
        </is>
      </c>
      <c r="E38" s="2" t="inlineStr">
        <is>
          <t>Bachelor of Finance</t>
        </is>
      </c>
      <c r="F38" s="2" t="inlineStr">
        <is>
          <t>Bachelor</t>
        </is>
      </c>
      <c r="G38" s="2" t="inlineStr">
        <is>
          <t>Fall 2024</t>
        </is>
      </c>
      <c r="H38" s="2" t="inlineStr">
        <is>
          <t>Active</t>
        </is>
      </c>
    </row>
    <row r="39">
      <c r="A39" s="2" t="inlineStr">
        <is>
          <t>m250215</t>
        </is>
      </c>
      <c r="B39" s="2" t="inlineStr">
        <is>
          <t>Mohira Salimova</t>
        </is>
      </c>
      <c r="C39" s="2" t="inlineStr">
        <is>
          <t>msalimova@uad.edu</t>
        </is>
      </c>
      <c r="D39" s="2" t="inlineStr">
        <is>
          <t>Faculty of Social Sciences</t>
        </is>
      </c>
      <c r="E39" s="2" t="inlineStr">
        <is>
          <t>Master of International Relations</t>
        </is>
      </c>
      <c r="F39" s="2" t="inlineStr">
        <is>
          <t>Master</t>
        </is>
      </c>
      <c r="G39" s="2" t="inlineStr">
        <is>
          <t>Spring 2025</t>
        </is>
      </c>
      <c r="H39" s="2" t="inlineStr">
        <is>
          <t>Active</t>
        </is>
      </c>
    </row>
    <row r="40">
      <c r="A40" s="2" t="inlineStr">
        <is>
          <t>m250311</t>
        </is>
      </c>
      <c r="B40" s="2" t="inlineStr">
        <is>
          <t>Khurshid Tadjiev</t>
        </is>
      </c>
      <c r="C40" s="2" t="inlineStr">
        <is>
          <t>ktadjiev@uad.edu</t>
        </is>
      </c>
      <c r="D40" s="2" t="inlineStr">
        <is>
          <t>Faculty of Engineering</t>
        </is>
      </c>
      <c r="E40" s="2" t="inlineStr">
        <is>
          <t>Bachelor of Civil Engineering</t>
        </is>
      </c>
      <c r="F40" s="2" t="inlineStr">
        <is>
          <t>Bachelor</t>
        </is>
      </c>
      <c r="G40" s="2" t="inlineStr">
        <is>
          <t>Fall 2025</t>
        </is>
      </c>
      <c r="H40" s="2" t="inlineStr">
        <is>
          <t>Active</t>
        </is>
      </c>
    </row>
    <row r="41">
      <c r="A41" s="2" t="inlineStr">
        <is>
          <t>m240114</t>
        </is>
      </c>
      <c r="B41" s="2" t="inlineStr">
        <is>
          <t>Nilufar Valieva</t>
        </is>
      </c>
      <c r="C41" s="2" t="inlineStr">
        <is>
          <t>nvalieva@uad.edu</t>
        </is>
      </c>
      <c r="D41" s="2" t="inlineStr">
        <is>
          <t>Faculty of Arts &amp; Design</t>
        </is>
      </c>
      <c r="E41" s="2" t="inlineStr">
        <is>
          <t>Bachelor of Graphic Design</t>
        </is>
      </c>
      <c r="F41" s="2" t="inlineStr">
        <is>
          <t>Bachelor</t>
        </is>
      </c>
      <c r="G41" s="2" t="inlineStr">
        <is>
          <t>Fall 2024</t>
        </is>
      </c>
      <c r="H41" s="2" t="inlineStr">
        <is>
          <t>Active</t>
        </is>
      </c>
    </row>
    <row r="42">
      <c r="A42" s="2" t="inlineStr">
        <is>
          <t>m250216</t>
        </is>
      </c>
      <c r="B42" s="2" t="inlineStr">
        <is>
          <t>Mansur Yusupov</t>
        </is>
      </c>
      <c r="C42" s="2" t="inlineStr">
        <is>
          <t>myusupov@uad.edu</t>
        </is>
      </c>
      <c r="D42" s="2" t="inlineStr">
        <is>
          <t>Faculty of Business</t>
        </is>
      </c>
      <c r="E42" s="2" t="inlineStr">
        <is>
          <t>Master of Global Management</t>
        </is>
      </c>
      <c r="F42" s="2" t="inlineStr">
        <is>
          <t>Master</t>
        </is>
      </c>
      <c r="G42" s="2" t="inlineStr">
        <is>
          <t>Spring 2025</t>
        </is>
      </c>
      <c r="H42" s="2" t="inlineStr">
        <is>
          <t>Active</t>
        </is>
      </c>
    </row>
    <row r="43">
      <c r="A43" s="2" t="inlineStr">
        <is>
          <t>m250312</t>
        </is>
      </c>
      <c r="B43" s="2" t="inlineStr">
        <is>
          <t>Ozoda Zakirova</t>
        </is>
      </c>
      <c r="C43" s="2" t="inlineStr">
        <is>
          <t>ozakirova@uad.edu</t>
        </is>
      </c>
      <c r="D43" s="2" t="inlineStr">
        <is>
          <t>Faculty of Business</t>
        </is>
      </c>
      <c r="E43" s="2" t="inlineStr">
        <is>
          <t>Master of Business Administration</t>
        </is>
      </c>
      <c r="F43" s="2" t="inlineStr">
        <is>
          <t>Master</t>
        </is>
      </c>
      <c r="G43" s="2" t="inlineStr">
        <is>
          <t>Fall 2025</t>
        </is>
      </c>
      <c r="H43" s="2" t="inlineStr">
        <is>
          <t>Active</t>
        </is>
      </c>
    </row>
    <row r="44">
      <c r="A44" s="2" t="inlineStr">
        <is>
          <t>m240115</t>
        </is>
      </c>
      <c r="B44" s="2" t="inlineStr">
        <is>
          <t>Nodir Ortiqov</t>
        </is>
      </c>
      <c r="C44" s="2" t="inlineStr">
        <is>
          <t>nortiqov@uad.edu</t>
        </is>
      </c>
      <c r="D44" s="2" t="inlineStr">
        <is>
          <t>Faculty of Computer Science</t>
        </is>
      </c>
      <c r="E44" s="2" t="inlineStr">
        <is>
          <t>Bachelor of Software Engineering</t>
        </is>
      </c>
      <c r="F44" s="2" t="inlineStr">
        <is>
          <t>Bachelor</t>
        </is>
      </c>
      <c r="G44" s="2" t="inlineStr">
        <is>
          <t>Fall 2024</t>
        </is>
      </c>
      <c r="H44" s="2" t="inlineStr">
        <is>
          <t>Active</t>
        </is>
      </c>
    </row>
    <row r="45">
      <c r="A45" s="2" t="inlineStr">
        <is>
          <t>m250217</t>
        </is>
      </c>
      <c r="B45" s="2" t="inlineStr">
        <is>
          <t>Rayhona Ahmadjonova</t>
        </is>
      </c>
      <c r="C45" s="2" t="inlineStr">
        <is>
          <t>rahmadjonova@uad.edu</t>
        </is>
      </c>
      <c r="D45" s="2" t="inlineStr">
        <is>
          <t>Faculty of Computer Science</t>
        </is>
      </c>
      <c r="E45" s="2" t="inlineStr">
        <is>
          <t>Master of Data Science</t>
        </is>
      </c>
      <c r="F45" s="2" t="inlineStr">
        <is>
          <t>Master</t>
        </is>
      </c>
      <c r="G45" s="2" t="inlineStr">
        <is>
          <t>Spring 2025</t>
        </is>
      </c>
      <c r="H45" s="2" t="inlineStr">
        <is>
          <t>On Leave</t>
        </is>
      </c>
    </row>
    <row r="46">
      <c r="A46" s="2" t="inlineStr">
        <is>
          <t>m250313</t>
        </is>
      </c>
      <c r="B46" s="2" t="inlineStr">
        <is>
          <t>Oybek Sobirov</t>
        </is>
      </c>
      <c r="C46" s="2" t="inlineStr">
        <is>
          <t>osobirov@uad.edu</t>
        </is>
      </c>
      <c r="D46" s="2" t="inlineStr">
        <is>
          <t>Faculty of Economics &amp; Finance</t>
        </is>
      </c>
      <c r="E46" s="2" t="inlineStr">
        <is>
          <t>Bachelor of Finance</t>
        </is>
      </c>
      <c r="F46" s="2" t="inlineStr">
        <is>
          <t>Bachelor</t>
        </is>
      </c>
      <c r="G46" s="2" t="inlineStr">
        <is>
          <t>Fall 2025</t>
        </is>
      </c>
      <c r="H46" s="2" t="inlineStr">
        <is>
          <t>Active</t>
        </is>
      </c>
    </row>
    <row r="47">
      <c r="A47" s="2" t="inlineStr">
        <is>
          <t>m240116</t>
        </is>
      </c>
      <c r="B47" s="2" t="inlineStr">
        <is>
          <t>Saida Murodova</t>
        </is>
      </c>
      <c r="C47" s="2" t="inlineStr">
        <is>
          <t>smurodova@uad.edu</t>
        </is>
      </c>
      <c r="D47" s="2" t="inlineStr">
        <is>
          <t>Faculty of Social Sciences</t>
        </is>
      </c>
      <c r="E47" s="2" t="inlineStr">
        <is>
          <t>Master of International Relations</t>
        </is>
      </c>
      <c r="F47" s="2" t="inlineStr">
        <is>
          <t>Master</t>
        </is>
      </c>
      <c r="G47" s="2" t="inlineStr">
        <is>
          <t>Fall 2024</t>
        </is>
      </c>
      <c r="H47" s="2" t="inlineStr">
        <is>
          <t>Active</t>
        </is>
      </c>
    </row>
    <row r="48">
      <c r="A48" s="2" t="inlineStr">
        <is>
          <t>m250218</t>
        </is>
      </c>
      <c r="B48" s="2" t="inlineStr">
        <is>
          <t>Ravshan Hakimov</t>
        </is>
      </c>
      <c r="C48" s="2" t="inlineStr">
        <is>
          <t>rhakimov@uad.edu</t>
        </is>
      </c>
      <c r="D48" s="2" t="inlineStr">
        <is>
          <t>Faculty of Engineering</t>
        </is>
      </c>
      <c r="E48" s="2" t="inlineStr">
        <is>
          <t>Bachelor of Civil Engineering</t>
        </is>
      </c>
      <c r="F48" s="2" t="inlineStr">
        <is>
          <t>Bachelor</t>
        </is>
      </c>
      <c r="G48" s="2" t="inlineStr">
        <is>
          <t>Spring 2025</t>
        </is>
      </c>
      <c r="H48" s="2" t="inlineStr">
        <is>
          <t>Active</t>
        </is>
      </c>
    </row>
    <row r="49">
      <c r="A49" s="2" t="inlineStr">
        <is>
          <t>m250314</t>
        </is>
      </c>
      <c r="B49" s="2" t="inlineStr">
        <is>
          <t>Umida Kurbanova</t>
        </is>
      </c>
      <c r="C49" s="2" t="inlineStr">
        <is>
          <t>ukurbanova@uad.edu</t>
        </is>
      </c>
      <c r="D49" s="2" t="inlineStr">
        <is>
          <t>Faculty of Arts &amp; Design</t>
        </is>
      </c>
      <c r="E49" s="2" t="inlineStr">
        <is>
          <t>Bachelor of Graphic Design</t>
        </is>
      </c>
      <c r="F49" s="2" t="inlineStr">
        <is>
          <t>Bachelor</t>
        </is>
      </c>
      <c r="G49" s="2" t="inlineStr">
        <is>
          <t>Fall 2025</t>
        </is>
      </c>
      <c r="H49" s="2" t="inlineStr">
        <is>
          <t>Active</t>
        </is>
      </c>
    </row>
    <row r="50">
      <c r="A50" s="2" t="inlineStr">
        <is>
          <t>m240117</t>
        </is>
      </c>
      <c r="B50" s="2" t="inlineStr">
        <is>
          <t>Shokhrukh Raximov</t>
        </is>
      </c>
      <c r="C50" s="2" t="inlineStr">
        <is>
          <t>sraximov@uad.edu</t>
        </is>
      </c>
      <c r="D50" s="2" t="inlineStr">
        <is>
          <t>Faculty of Business</t>
        </is>
      </c>
      <c r="E50" s="2" t="inlineStr">
        <is>
          <t>Master of Global Management</t>
        </is>
      </c>
      <c r="F50" s="2" t="inlineStr">
        <is>
          <t>Master</t>
        </is>
      </c>
      <c r="G50" s="2" t="inlineStr">
        <is>
          <t>Fall 2024</t>
        </is>
      </c>
      <c r="H50" s="2" t="inlineStr">
        <is>
          <t>Active</t>
        </is>
      </c>
    </row>
    <row r="51">
      <c r="A51" s="2" t="inlineStr">
        <is>
          <t>m250219</t>
        </is>
      </c>
      <c r="B51" s="2" t="inlineStr">
        <is>
          <t>Yulduz Sultanova</t>
        </is>
      </c>
      <c r="C51" s="2" t="inlineStr">
        <is>
          <t>ysultanova@uad.edu</t>
        </is>
      </c>
      <c r="D51" s="2" t="inlineStr">
        <is>
          <t>Faculty of Business</t>
        </is>
      </c>
      <c r="E51" s="2" t="inlineStr">
        <is>
          <t>Master of Business Administration</t>
        </is>
      </c>
      <c r="F51" s="2" t="inlineStr">
        <is>
          <t>Master</t>
        </is>
      </c>
      <c r="G51" s="2" t="inlineStr">
        <is>
          <t>Spring 2025</t>
        </is>
      </c>
      <c r="H51" s="2" t="inlineStr">
        <is>
          <t>Active</t>
        </is>
      </c>
    </row>
  </sheetData>
  <autoFilter ref="A1:H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55" customWidth="1" min="2" max="2"/>
    <col width="12" customWidth="1" min="3" max="3"/>
  </cols>
  <sheetData>
    <row r="1" ht="30" customHeight="1">
      <c r="A1" s="1" t="inlineStr">
        <is>
          <t>Course Code</t>
        </is>
      </c>
      <c r="B1" s="1" t="inlineStr">
        <is>
          <t>Course Title</t>
        </is>
      </c>
      <c r="C1" s="1" t="inlineStr">
        <is>
          <t>ECTS Credits</t>
        </is>
      </c>
    </row>
    <row r="2">
      <c r="A2" s="2" t="inlineStr">
        <is>
          <t>TAM 530</t>
        </is>
      </c>
      <c r="B2" s="2" t="inlineStr">
        <is>
          <t>Data Analytics and Digital Transformation in a Global World</t>
        </is>
      </c>
      <c r="C2" s="2" t="n">
        <v>6</v>
      </c>
    </row>
    <row r="3">
      <c r="A3" s="2" t="inlineStr">
        <is>
          <t>TGM 586</t>
        </is>
      </c>
      <c r="B3" s="2" t="inlineStr">
        <is>
          <t>Global Entrepreneurship and Sustainable Business</t>
        </is>
      </c>
      <c r="C3" s="2" t="n">
        <v>6</v>
      </c>
    </row>
    <row r="4">
      <c r="A4" s="2" t="inlineStr">
        <is>
          <t>TAM 557</t>
        </is>
      </c>
      <c r="B4" s="2" t="inlineStr">
        <is>
          <t>Global Marketing in a Digital Age</t>
        </is>
      </c>
      <c r="C4" s="2" t="n">
        <v>6</v>
      </c>
    </row>
    <row r="5">
      <c r="A5" s="2" t="inlineStr">
        <is>
          <t>TAM 542</t>
        </is>
      </c>
      <c r="B5" s="2" t="inlineStr">
        <is>
          <t>Global Leadership and Personal Development</t>
        </is>
      </c>
      <c r="C5" s="2" t="n">
        <v>6</v>
      </c>
    </row>
    <row r="6">
      <c r="A6" s="2" t="inlineStr">
        <is>
          <t>TAM 511</t>
        </is>
      </c>
      <c r="B6" s="2" t="inlineStr">
        <is>
          <t>Global Accounting: Managing with Numbers</t>
        </is>
      </c>
      <c r="C6" s="2" t="n">
        <v>6</v>
      </c>
    </row>
    <row r="7">
      <c r="A7" s="2" t="inlineStr">
        <is>
          <t>IAL 503</t>
        </is>
      </c>
      <c r="B7" s="2" t="inlineStr">
        <is>
          <t>Applied International Leadership</t>
        </is>
      </c>
      <c r="C7" s="2" t="n">
        <v>6</v>
      </c>
    </row>
    <row r="8">
      <c r="A8" s="2" t="inlineStr">
        <is>
          <t>FIN 560</t>
        </is>
      </c>
      <c r="B8" s="2" t="inlineStr">
        <is>
          <t>International Finance</t>
        </is>
      </c>
      <c r="C8" s="2" t="n">
        <v>6</v>
      </c>
    </row>
    <row r="9">
      <c r="A9" s="2" t="inlineStr">
        <is>
          <t>TGM 551</t>
        </is>
      </c>
      <c r="B9" s="2" t="inlineStr">
        <is>
          <t>Global Marketing Strategy</t>
        </is>
      </c>
      <c r="C9" s="2" t="n">
        <v>6</v>
      </c>
    </row>
    <row r="10">
      <c r="A10" s="2" t="inlineStr">
        <is>
          <t>TAM 505</t>
        </is>
      </c>
      <c r="B10" s="2" t="inlineStr">
        <is>
          <t>Navigating Global and Regional Business Environments</t>
        </is>
      </c>
      <c r="C10" s="2" t="n">
        <v>6</v>
      </c>
    </row>
    <row r="11">
      <c r="A11" s="2" t="inlineStr">
        <is>
          <t>TGM 507</t>
        </is>
      </c>
      <c r="B11" s="2" t="inlineStr">
        <is>
          <t>Global Organizational Consulting</t>
        </is>
      </c>
      <c r="C11" s="2" t="n">
        <v>6</v>
      </c>
    </row>
    <row r="12">
      <c r="A12" s="2" t="inlineStr">
        <is>
          <t>TGM 610</t>
        </is>
      </c>
      <c r="B12" s="2" t="inlineStr">
        <is>
          <t>Cross-Cultural Negotiation</t>
        </is>
      </c>
      <c r="C12" s="2" t="n">
        <v>6</v>
      </c>
    </row>
    <row r="13">
      <c r="A13" s="2" t="inlineStr">
        <is>
          <t>TGM 622</t>
        </is>
      </c>
      <c r="B13" s="2" t="inlineStr">
        <is>
          <t>Global Supply Chain Management</t>
        </is>
      </c>
      <c r="C13" s="2" t="n">
        <v>6</v>
      </c>
    </row>
    <row r="14">
      <c r="A14" s="2" t="inlineStr">
        <is>
          <t>TAM 615</t>
        </is>
      </c>
      <c r="B14" s="2" t="inlineStr">
        <is>
          <t>Strategic Management in Emerging Markets</t>
        </is>
      </c>
      <c r="C14" s="2" t="n">
        <v>6</v>
      </c>
    </row>
    <row r="15">
      <c r="A15" s="2" t="inlineStr">
        <is>
          <t>TGM 630</t>
        </is>
      </c>
      <c r="B15" s="2" t="inlineStr">
        <is>
          <t>Corporate Governance and Ethics</t>
        </is>
      </c>
      <c r="C15" s="2" t="n">
        <v>6</v>
      </c>
    </row>
    <row r="16">
      <c r="A16" s="2" t="inlineStr">
        <is>
          <t>TGM 690</t>
        </is>
      </c>
      <c r="B16" s="2" t="inlineStr">
        <is>
          <t>Capstone: Global Management Project</t>
        </is>
      </c>
      <c r="C16" s="2" t="n">
        <v>6</v>
      </c>
    </row>
    <row r="17">
      <c r="A17" s="2" t="inlineStr">
        <is>
          <t>TGM 640</t>
        </is>
      </c>
      <c r="B17" s="2" t="inlineStr">
        <is>
          <t>Global Risk Management</t>
        </is>
      </c>
      <c r="C17" s="2" t="n">
        <v>6</v>
      </c>
    </row>
    <row r="18">
      <c r="A18" s="2" t="inlineStr">
        <is>
          <t>TGM 650</t>
        </is>
      </c>
      <c r="B18" s="2" t="inlineStr">
        <is>
          <t>Digital Business Models</t>
        </is>
      </c>
      <c r="C18" s="2" t="n">
        <v>6</v>
      </c>
    </row>
    <row r="19">
      <c r="A19" s="2" t="inlineStr">
        <is>
          <t>TGM 660</t>
        </is>
      </c>
      <c r="B19" s="2" t="inlineStr">
        <is>
          <t>International Human Resource Management</t>
        </is>
      </c>
      <c r="C19" s="2" t="n">
        <v>6</v>
      </c>
    </row>
    <row r="20">
      <c r="A20" s="2" t="inlineStr">
        <is>
          <t>TGM 670</t>
        </is>
      </c>
      <c r="B20" s="2" t="inlineStr">
        <is>
          <t>Innovation Management</t>
        </is>
      </c>
      <c r="C20" s="2" t="n">
        <v>6</v>
      </c>
    </row>
    <row r="21">
      <c r="A21" s="2" t="inlineStr">
        <is>
          <t>TGM 699</t>
        </is>
      </c>
      <c r="B21" s="2" t="inlineStr">
        <is>
          <t>Master's Thesis</t>
        </is>
      </c>
      <c r="C21" s="2" t="n">
        <v>6</v>
      </c>
    </row>
    <row r="22">
      <c r="A22" s="2" t="inlineStr">
        <is>
          <t>MBA 501</t>
        </is>
      </c>
      <c r="B22" s="2" t="inlineStr">
        <is>
          <t>Managerial Economics</t>
        </is>
      </c>
      <c r="C22" s="2" t="n">
        <v>6</v>
      </c>
    </row>
    <row r="23">
      <c r="A23" s="2" t="inlineStr">
        <is>
          <t>MBA 510</t>
        </is>
      </c>
      <c r="B23" s="2" t="inlineStr">
        <is>
          <t>Financial Reporting and Analysis</t>
        </is>
      </c>
      <c r="C23" s="2" t="n">
        <v>6</v>
      </c>
    </row>
    <row r="24">
      <c r="A24" s="2" t="inlineStr">
        <is>
          <t>MBA 520</t>
        </is>
      </c>
      <c r="B24" s="2" t="inlineStr">
        <is>
          <t>Organizational Behavior</t>
        </is>
      </c>
      <c r="C24" s="2" t="n">
        <v>6</v>
      </c>
    </row>
    <row r="25">
      <c r="A25" s="2" t="inlineStr">
        <is>
          <t>MBA 530</t>
        </is>
      </c>
      <c r="B25" s="2" t="inlineStr">
        <is>
          <t>Marketing Management</t>
        </is>
      </c>
      <c r="C25" s="2" t="n">
        <v>6</v>
      </c>
    </row>
    <row r="26">
      <c r="A26" s="2" t="inlineStr">
        <is>
          <t>MBA 540</t>
        </is>
      </c>
      <c r="B26" s="2" t="inlineStr">
        <is>
          <t>Business Analytics</t>
        </is>
      </c>
      <c r="C26" s="2" t="n">
        <v>6</v>
      </c>
    </row>
    <row r="27">
      <c r="A27" s="2" t="inlineStr">
        <is>
          <t>MBA 550</t>
        </is>
      </c>
      <c r="B27" s="2" t="inlineStr">
        <is>
          <t>Corporate Finance</t>
        </is>
      </c>
      <c r="C27" s="2" t="n">
        <v>6</v>
      </c>
    </row>
    <row r="28">
      <c r="A28" s="2" t="inlineStr">
        <is>
          <t>MBA 560</t>
        </is>
      </c>
      <c r="B28" s="2" t="inlineStr">
        <is>
          <t>Operations Management</t>
        </is>
      </c>
      <c r="C28" s="2" t="n">
        <v>6</v>
      </c>
    </row>
    <row r="29">
      <c r="A29" s="2" t="inlineStr">
        <is>
          <t>MBA 570</t>
        </is>
      </c>
      <c r="B29" s="2" t="inlineStr">
        <is>
          <t>Strategic Human Resource Management</t>
        </is>
      </c>
      <c r="C29" s="2" t="n">
        <v>6</v>
      </c>
    </row>
    <row r="30">
      <c r="A30" s="2" t="inlineStr">
        <is>
          <t>MBA 580</t>
        </is>
      </c>
      <c r="B30" s="2" t="inlineStr">
        <is>
          <t>Business Ethics</t>
        </is>
      </c>
      <c r="C30" s="2" t="n">
        <v>6</v>
      </c>
    </row>
    <row r="31">
      <c r="A31" s="2" t="inlineStr">
        <is>
          <t>MBA 590</t>
        </is>
      </c>
      <c r="B31" s="2" t="inlineStr">
        <is>
          <t>Leadership and Change</t>
        </is>
      </c>
      <c r="C31" s="2" t="n">
        <v>6</v>
      </c>
    </row>
    <row r="32">
      <c r="A32" s="2" t="inlineStr">
        <is>
          <t>MBA 610</t>
        </is>
      </c>
      <c r="B32" s="2" t="inlineStr">
        <is>
          <t>Competitive Strategy</t>
        </is>
      </c>
      <c r="C32" s="2" t="n">
        <v>6</v>
      </c>
    </row>
    <row r="33">
      <c r="A33" s="2" t="inlineStr">
        <is>
          <t>MBA 620</t>
        </is>
      </c>
      <c r="B33" s="2" t="inlineStr">
        <is>
          <t>Entrepreneurship and Innovation</t>
        </is>
      </c>
      <c r="C33" s="2" t="n">
        <v>6</v>
      </c>
    </row>
    <row r="34">
      <c r="A34" s="2" t="inlineStr">
        <is>
          <t>MBA 630</t>
        </is>
      </c>
      <c r="B34" s="2" t="inlineStr">
        <is>
          <t>International Business</t>
        </is>
      </c>
      <c r="C34" s="2" t="n">
        <v>6</v>
      </c>
    </row>
    <row r="35">
      <c r="A35" s="2" t="inlineStr">
        <is>
          <t>MBA 640</t>
        </is>
      </c>
      <c r="B35" s="2" t="inlineStr">
        <is>
          <t>Negotiation</t>
        </is>
      </c>
      <c r="C35" s="2" t="n">
        <v>6</v>
      </c>
    </row>
    <row r="36">
      <c r="A36" s="2" t="inlineStr">
        <is>
          <t>MBA 690</t>
        </is>
      </c>
      <c r="B36" s="2" t="inlineStr">
        <is>
          <t>MBA Capstone Consulting Project</t>
        </is>
      </c>
      <c r="C36" s="2" t="n">
        <v>6</v>
      </c>
    </row>
    <row r="37">
      <c r="A37" s="2" t="inlineStr">
        <is>
          <t>MBA 650</t>
        </is>
      </c>
      <c r="B37" s="2" t="inlineStr">
        <is>
          <t>Mergers and Acquisitions</t>
        </is>
      </c>
      <c r="C37" s="2" t="n">
        <v>6</v>
      </c>
    </row>
    <row r="38">
      <c r="A38" s="2" t="inlineStr">
        <is>
          <t>MBA 660</t>
        </is>
      </c>
      <c r="B38" s="2" t="inlineStr">
        <is>
          <t>Digital Marketing Strategy</t>
        </is>
      </c>
      <c r="C38" s="2" t="n">
        <v>6</v>
      </c>
    </row>
    <row r="39">
      <c r="A39" s="2" t="inlineStr">
        <is>
          <t>MBA 670</t>
        </is>
      </c>
      <c r="B39" s="2" t="inlineStr">
        <is>
          <t>Project Management</t>
        </is>
      </c>
      <c r="C39" s="2" t="n">
        <v>6</v>
      </c>
    </row>
    <row r="40">
      <c r="A40" s="2" t="inlineStr">
        <is>
          <t>MBA 680</t>
        </is>
      </c>
      <c r="B40" s="2" t="inlineStr">
        <is>
          <t>Corporate Social Responsibility</t>
        </is>
      </c>
      <c r="C40" s="2" t="n">
        <v>6</v>
      </c>
    </row>
    <row r="41">
      <c r="A41" s="2" t="inlineStr">
        <is>
          <t>MBA 699</t>
        </is>
      </c>
      <c r="B41" s="2" t="inlineStr">
        <is>
          <t>MBA Final Project</t>
        </is>
      </c>
      <c r="C41" s="2" t="n">
        <v>6</v>
      </c>
    </row>
    <row r="42">
      <c r="A42" s="2" t="inlineStr">
        <is>
          <t>CSE 101</t>
        </is>
      </c>
      <c r="B42" s="2" t="inlineStr">
        <is>
          <t>Introduction to Programming</t>
        </is>
      </c>
      <c r="C42" s="2" t="n">
        <v>6</v>
      </c>
    </row>
    <row r="43">
      <c r="A43" s="2" t="inlineStr">
        <is>
          <t>MTH 110</t>
        </is>
      </c>
      <c r="B43" s="2" t="inlineStr">
        <is>
          <t>Discrete Mathematics</t>
        </is>
      </c>
      <c r="C43" s="2" t="n">
        <v>6</v>
      </c>
    </row>
    <row r="44">
      <c r="A44" s="2" t="inlineStr">
        <is>
          <t>CSE 120</t>
        </is>
      </c>
      <c r="B44" s="2" t="inlineStr">
        <is>
          <t>Computer Systems Fundamentals</t>
        </is>
      </c>
      <c r="C44" s="2" t="n">
        <v>6</v>
      </c>
    </row>
    <row r="45">
      <c r="A45" s="2" t="inlineStr">
        <is>
          <t>ENG 101</t>
        </is>
      </c>
      <c r="B45" s="2" t="inlineStr">
        <is>
          <t>Academic English I</t>
        </is>
      </c>
      <c r="C45" s="2" t="n">
        <v>6</v>
      </c>
    </row>
    <row r="46">
      <c r="A46" s="2" t="inlineStr">
        <is>
          <t>MTH 120</t>
        </is>
      </c>
      <c r="B46" s="2" t="inlineStr">
        <is>
          <t>Calculus I</t>
        </is>
      </c>
      <c r="C46" s="2" t="n">
        <v>6</v>
      </c>
    </row>
    <row r="47">
      <c r="A47" s="2" t="inlineStr">
        <is>
          <t>CSE 150</t>
        </is>
      </c>
      <c r="B47" s="2" t="inlineStr">
        <is>
          <t>Object-Oriented Programming</t>
        </is>
      </c>
      <c r="C47" s="2" t="n">
        <v>6</v>
      </c>
    </row>
    <row r="48">
      <c r="A48" s="2" t="inlineStr">
        <is>
          <t>CSE 160</t>
        </is>
      </c>
      <c r="B48" s="2" t="inlineStr">
        <is>
          <t>Data Structures</t>
        </is>
      </c>
      <c r="C48" s="2" t="n">
        <v>6</v>
      </c>
    </row>
    <row r="49">
      <c r="A49" s="2" t="inlineStr">
        <is>
          <t>CSE 170</t>
        </is>
      </c>
      <c r="B49" s="2" t="inlineStr">
        <is>
          <t>Web Development Basics</t>
        </is>
      </c>
      <c r="C49" s="2" t="n">
        <v>6</v>
      </c>
    </row>
    <row r="50">
      <c r="A50" s="2" t="inlineStr">
        <is>
          <t>ENG 102</t>
        </is>
      </c>
      <c r="B50" s="2" t="inlineStr">
        <is>
          <t>Academic English II</t>
        </is>
      </c>
      <c r="C50" s="2" t="n">
        <v>6</v>
      </c>
    </row>
    <row r="51">
      <c r="A51" s="2" t="inlineStr">
        <is>
          <t>MTH 130</t>
        </is>
      </c>
      <c r="B51" s="2" t="inlineStr">
        <is>
          <t>Linear Algebra</t>
        </is>
      </c>
      <c r="C51" s="2" t="n">
        <v>6</v>
      </c>
    </row>
    <row r="52">
      <c r="A52" s="2" t="inlineStr">
        <is>
          <t>CSE 210</t>
        </is>
      </c>
      <c r="B52" s="2" t="inlineStr">
        <is>
          <t>Algorithms</t>
        </is>
      </c>
      <c r="C52" s="2" t="n">
        <v>6</v>
      </c>
    </row>
    <row r="53">
      <c r="A53" s="2" t="inlineStr">
        <is>
          <t>CSE 220</t>
        </is>
      </c>
      <c r="B53" s="2" t="inlineStr">
        <is>
          <t>Databases</t>
        </is>
      </c>
      <c r="C53" s="2" t="n">
        <v>6</v>
      </c>
    </row>
    <row r="54">
      <c r="A54" s="2" t="inlineStr">
        <is>
          <t>CSE 230</t>
        </is>
      </c>
      <c r="B54" s="2" t="inlineStr">
        <is>
          <t>Software Requirements Engineering</t>
        </is>
      </c>
      <c r="C54" s="2" t="n">
        <v>6</v>
      </c>
    </row>
    <row r="55">
      <c r="A55" s="2" t="inlineStr">
        <is>
          <t>CSE 240</t>
        </is>
      </c>
      <c r="B55" s="2" t="inlineStr">
        <is>
          <t>Operating Systems</t>
        </is>
      </c>
      <c r="C55" s="2" t="n">
        <v>6</v>
      </c>
    </row>
    <row r="56">
      <c r="A56" s="2" t="inlineStr">
        <is>
          <t>STA 201</t>
        </is>
      </c>
      <c r="B56" s="2" t="inlineStr">
        <is>
          <t>Probability and Statistics</t>
        </is>
      </c>
      <c r="C56" s="2" t="n">
        <v>6</v>
      </c>
    </row>
    <row r="57">
      <c r="A57" s="2" t="inlineStr">
        <is>
          <t>CSE 250</t>
        </is>
      </c>
      <c r="B57" s="2" t="inlineStr">
        <is>
          <t>Software Architecture</t>
        </is>
      </c>
      <c r="C57" s="2" t="n">
        <v>6</v>
      </c>
    </row>
    <row r="58">
      <c r="A58" s="2" t="inlineStr">
        <is>
          <t>CSE 260</t>
        </is>
      </c>
      <c r="B58" s="2" t="inlineStr">
        <is>
          <t>Computer Networks</t>
        </is>
      </c>
      <c r="C58" s="2" t="n">
        <v>6</v>
      </c>
    </row>
    <row r="59">
      <c r="A59" s="2" t="inlineStr">
        <is>
          <t>CSE 270</t>
        </is>
      </c>
      <c r="B59" s="2" t="inlineStr">
        <is>
          <t>Mobile Application Development</t>
        </is>
      </c>
      <c r="C59" s="2" t="n">
        <v>6</v>
      </c>
    </row>
    <row r="60">
      <c r="A60" s="2" t="inlineStr">
        <is>
          <t>CSE 280</t>
        </is>
      </c>
      <c r="B60" s="2" t="inlineStr">
        <is>
          <t>Software Testing</t>
        </is>
      </c>
      <c r="C60" s="2" t="n">
        <v>6</v>
      </c>
    </row>
    <row r="61">
      <c r="A61" s="2" t="inlineStr">
        <is>
          <t>CSE 290</t>
        </is>
      </c>
      <c r="B61" s="2" t="inlineStr">
        <is>
          <t>Team Software Project</t>
        </is>
      </c>
      <c r="C61" s="2" t="n">
        <v>6</v>
      </c>
    </row>
    <row r="62">
      <c r="A62" s="2" t="inlineStr">
        <is>
          <t>DSC 501</t>
        </is>
      </c>
      <c r="B62" s="2" t="inlineStr">
        <is>
          <t>Foundations of Data Science</t>
        </is>
      </c>
      <c r="C62" s="2" t="n">
        <v>6</v>
      </c>
    </row>
    <row r="63">
      <c r="A63" s="2" t="inlineStr">
        <is>
          <t>DSC 510</t>
        </is>
      </c>
      <c r="B63" s="2" t="inlineStr">
        <is>
          <t>Statistical Inference</t>
        </is>
      </c>
      <c r="C63" s="2" t="n">
        <v>6</v>
      </c>
    </row>
    <row r="64">
      <c r="A64" s="2" t="inlineStr">
        <is>
          <t>DSC 520</t>
        </is>
      </c>
      <c r="B64" s="2" t="inlineStr">
        <is>
          <t>Programming for Data Science (Python)</t>
        </is>
      </c>
      <c r="C64" s="2" t="n">
        <v>6</v>
      </c>
    </row>
    <row r="65">
      <c r="A65" s="2" t="inlineStr">
        <is>
          <t>DSC 530</t>
        </is>
      </c>
      <c r="B65" s="2" t="inlineStr">
        <is>
          <t>Data Management and SQL</t>
        </is>
      </c>
      <c r="C65" s="2" t="n">
        <v>6</v>
      </c>
    </row>
    <row r="66">
      <c r="A66" s="2" t="inlineStr">
        <is>
          <t>DSC 540</t>
        </is>
      </c>
      <c r="B66" s="2" t="inlineStr">
        <is>
          <t>Linear Algebra for Machine Learning</t>
        </is>
      </c>
      <c r="C66" s="2" t="n">
        <v>6</v>
      </c>
    </row>
    <row r="67">
      <c r="A67" s="2" t="inlineStr">
        <is>
          <t>DSC 550</t>
        </is>
      </c>
      <c r="B67" s="2" t="inlineStr">
        <is>
          <t>Machine Learning</t>
        </is>
      </c>
      <c r="C67" s="2" t="n">
        <v>6</v>
      </c>
    </row>
    <row r="68">
      <c r="A68" s="2" t="inlineStr">
        <is>
          <t>DSC 560</t>
        </is>
      </c>
      <c r="B68" s="2" t="inlineStr">
        <is>
          <t>Data Visualization</t>
        </is>
      </c>
      <c r="C68" s="2" t="n">
        <v>6</v>
      </c>
    </row>
    <row r="69">
      <c r="A69" s="2" t="inlineStr">
        <is>
          <t>DSC 570</t>
        </is>
      </c>
      <c r="B69" s="2" t="inlineStr">
        <is>
          <t>Big Data Platforms</t>
        </is>
      </c>
      <c r="C69" s="2" t="n">
        <v>6</v>
      </c>
    </row>
    <row r="70">
      <c r="A70" s="2" t="inlineStr">
        <is>
          <t>DSC 580</t>
        </is>
      </c>
      <c r="B70" s="2" t="inlineStr">
        <is>
          <t>Optimization Methods</t>
        </is>
      </c>
      <c r="C70" s="2" t="n">
        <v>6</v>
      </c>
    </row>
    <row r="71">
      <c r="A71" s="2" t="inlineStr">
        <is>
          <t>DSC 590</t>
        </is>
      </c>
      <c r="B71" s="2" t="inlineStr">
        <is>
          <t>Research Methods</t>
        </is>
      </c>
      <c r="C71" s="2" t="n">
        <v>6</v>
      </c>
    </row>
    <row r="72">
      <c r="A72" s="2" t="inlineStr">
        <is>
          <t>DSC 610</t>
        </is>
      </c>
      <c r="B72" s="2" t="inlineStr">
        <is>
          <t>Deep Learning</t>
        </is>
      </c>
      <c r="C72" s="2" t="n">
        <v>6</v>
      </c>
    </row>
    <row r="73">
      <c r="A73" s="2" t="inlineStr">
        <is>
          <t>DSC 620</t>
        </is>
      </c>
      <c r="B73" s="2" t="inlineStr">
        <is>
          <t>Natural Language Processing</t>
        </is>
      </c>
      <c r="C73" s="2" t="n">
        <v>6</v>
      </c>
    </row>
    <row r="74">
      <c r="A74" s="2" t="inlineStr">
        <is>
          <t>DSC 630</t>
        </is>
      </c>
      <c r="B74" s="2" t="inlineStr">
        <is>
          <t>Time Series Analysis</t>
        </is>
      </c>
      <c r="C74" s="2" t="n">
        <v>6</v>
      </c>
    </row>
    <row r="75">
      <c r="A75" s="2" t="inlineStr">
        <is>
          <t>DSC 640</t>
        </is>
      </c>
      <c r="B75" s="2" t="inlineStr">
        <is>
          <t>Data Ethics and Privacy</t>
        </is>
      </c>
      <c r="C75" s="2" t="n">
        <v>6</v>
      </c>
    </row>
    <row r="76">
      <c r="A76" s="2" t="inlineStr">
        <is>
          <t>DSC 690</t>
        </is>
      </c>
      <c r="B76" s="2" t="inlineStr">
        <is>
          <t>Capstone Project in Data Science</t>
        </is>
      </c>
      <c r="C76" s="2" t="n">
        <v>6</v>
      </c>
    </row>
    <row r="77">
      <c r="A77" s="2" t="inlineStr">
        <is>
          <t>DSC 650</t>
        </is>
      </c>
      <c r="B77" s="2" t="inlineStr">
        <is>
          <t>Reinforcement Learning</t>
        </is>
      </c>
      <c r="C77" s="2" t="n">
        <v>6</v>
      </c>
    </row>
    <row r="78">
      <c r="A78" s="2" t="inlineStr">
        <is>
          <t>DSC 660</t>
        </is>
      </c>
      <c r="B78" s="2" t="inlineStr">
        <is>
          <t>Computer Vision</t>
        </is>
      </c>
      <c r="C78" s="2" t="n">
        <v>6</v>
      </c>
    </row>
    <row r="79">
      <c r="A79" s="2" t="inlineStr">
        <is>
          <t>DSC 670</t>
        </is>
      </c>
      <c r="B79" s="2" t="inlineStr">
        <is>
          <t>Causal Inference</t>
        </is>
      </c>
      <c r="C79" s="2" t="n">
        <v>6</v>
      </c>
    </row>
    <row r="80">
      <c r="A80" s="2" t="inlineStr">
        <is>
          <t>DSC 680</t>
        </is>
      </c>
      <c r="B80" s="2" t="inlineStr">
        <is>
          <t>MLOps and Model Deployment</t>
        </is>
      </c>
      <c r="C80" s="2" t="n">
        <v>6</v>
      </c>
    </row>
    <row r="81">
      <c r="A81" s="2" t="inlineStr">
        <is>
          <t>DSC 699</t>
        </is>
      </c>
      <c r="B81" s="2" t="inlineStr">
        <is>
          <t>Master's Thesis</t>
        </is>
      </c>
      <c r="C81" s="2" t="n">
        <v>6</v>
      </c>
    </row>
    <row r="82">
      <c r="A82" s="2" t="inlineStr">
        <is>
          <t>ECO 101</t>
        </is>
      </c>
      <c r="B82" s="2" t="inlineStr">
        <is>
          <t>Principles of Microeconomics</t>
        </is>
      </c>
      <c r="C82" s="2" t="n">
        <v>6</v>
      </c>
    </row>
    <row r="83">
      <c r="A83" s="2" t="inlineStr">
        <is>
          <t>ACC 101</t>
        </is>
      </c>
      <c r="B83" s="2" t="inlineStr">
        <is>
          <t>Financial Accounting</t>
        </is>
      </c>
      <c r="C83" s="2" t="n">
        <v>6</v>
      </c>
    </row>
    <row r="84">
      <c r="A84" s="2" t="inlineStr">
        <is>
          <t>MTH 105</t>
        </is>
      </c>
      <c r="B84" s="2" t="inlineStr">
        <is>
          <t>Business Mathematics</t>
        </is>
      </c>
      <c r="C84" s="2" t="n">
        <v>6</v>
      </c>
    </row>
    <row r="85">
      <c r="A85" s="2" t="inlineStr">
        <is>
          <t>FIN 100</t>
        </is>
      </c>
      <c r="B85" s="2" t="inlineStr">
        <is>
          <t>Introduction to Finance</t>
        </is>
      </c>
      <c r="C85" s="2" t="n">
        <v>6</v>
      </c>
    </row>
    <row r="86">
      <c r="A86" s="2" t="inlineStr">
        <is>
          <t>ECO 102</t>
        </is>
      </c>
      <c r="B86" s="2" t="inlineStr">
        <is>
          <t>Principles of Macroeconomics</t>
        </is>
      </c>
      <c r="C86" s="2" t="n">
        <v>6</v>
      </c>
    </row>
    <row r="87">
      <c r="A87" s="2" t="inlineStr">
        <is>
          <t>ACC 102</t>
        </is>
      </c>
      <c r="B87" s="2" t="inlineStr">
        <is>
          <t>Managerial Accounting</t>
        </is>
      </c>
      <c r="C87" s="2" t="n">
        <v>6</v>
      </c>
    </row>
    <row r="88">
      <c r="A88" s="2" t="inlineStr">
        <is>
          <t>STA 110</t>
        </is>
      </c>
      <c r="B88" s="2" t="inlineStr">
        <is>
          <t>Business Statistics</t>
        </is>
      </c>
      <c r="C88" s="2" t="n">
        <v>6</v>
      </c>
    </row>
    <row r="89">
      <c r="A89" s="2" t="inlineStr">
        <is>
          <t>FIN 150</t>
        </is>
      </c>
      <c r="B89" s="2" t="inlineStr">
        <is>
          <t>Financial Markets and Institutions</t>
        </is>
      </c>
      <c r="C89" s="2" t="n">
        <v>6</v>
      </c>
    </row>
    <row r="90">
      <c r="A90" s="2" t="inlineStr">
        <is>
          <t>FIN 210</t>
        </is>
      </c>
      <c r="B90" s="2" t="inlineStr">
        <is>
          <t>Corporate Finance</t>
        </is>
      </c>
      <c r="C90" s="2" t="n">
        <v>6</v>
      </c>
    </row>
    <row r="91">
      <c r="A91" s="2" t="inlineStr">
        <is>
          <t>FIN 220</t>
        </is>
      </c>
      <c r="B91" s="2" t="inlineStr">
        <is>
          <t>Investments</t>
        </is>
      </c>
      <c r="C91" s="2" t="n">
        <v>6</v>
      </c>
    </row>
    <row r="92">
      <c r="A92" s="2" t="inlineStr">
        <is>
          <t>FIN 230</t>
        </is>
      </c>
      <c r="B92" s="2" t="inlineStr">
        <is>
          <t>Banking Operations</t>
        </is>
      </c>
      <c r="C92" s="2" t="n">
        <v>6</v>
      </c>
    </row>
    <row r="93">
      <c r="A93" s="2" t="inlineStr">
        <is>
          <t>ECO 210</t>
        </is>
      </c>
      <c r="B93" s="2" t="inlineStr">
        <is>
          <t>Econometrics I</t>
        </is>
      </c>
      <c r="C93" s="2" t="n">
        <v>6</v>
      </c>
    </row>
    <row r="94">
      <c r="A94" s="2" t="inlineStr">
        <is>
          <t>LAW 201</t>
        </is>
      </c>
      <c r="B94" s="2" t="inlineStr">
        <is>
          <t>Business Law</t>
        </is>
      </c>
      <c r="C94" s="2" t="n">
        <v>6</v>
      </c>
    </row>
    <row r="95">
      <c r="A95" s="2" t="inlineStr">
        <is>
          <t>FIN 240</t>
        </is>
      </c>
      <c r="B95" s="2" t="inlineStr">
        <is>
          <t>Financial Modelling</t>
        </is>
      </c>
      <c r="C95" s="2" t="n">
        <v>6</v>
      </c>
    </row>
    <row r="96">
      <c r="A96" s="2" t="inlineStr">
        <is>
          <t>FIN 250</t>
        </is>
      </c>
      <c r="B96" s="2" t="inlineStr">
        <is>
          <t>Risk Management</t>
        </is>
      </c>
      <c r="C96" s="2" t="n">
        <v>6</v>
      </c>
    </row>
    <row r="97">
      <c r="A97" s="2" t="inlineStr">
        <is>
          <t>FIN 260</t>
        </is>
      </c>
      <c r="B97" s="2" t="inlineStr">
        <is>
          <t>International Finance</t>
        </is>
      </c>
      <c r="C97" s="2" t="n">
        <v>6</v>
      </c>
    </row>
    <row r="98">
      <c r="A98" s="2" t="inlineStr">
        <is>
          <t>ECO 220</t>
        </is>
      </c>
      <c r="B98" s="2" t="inlineStr">
        <is>
          <t>Money and Banking</t>
        </is>
      </c>
      <c r="C98" s="2" t="n">
        <v>6</v>
      </c>
    </row>
    <row r="99">
      <c r="A99" s="2" t="inlineStr">
        <is>
          <t>ACC 210</t>
        </is>
      </c>
      <c r="B99" s="2" t="inlineStr">
        <is>
          <t>Intermediate Accounting</t>
        </is>
      </c>
      <c r="C99" s="2" t="n">
        <v>6</v>
      </c>
    </row>
    <row r="100">
      <c r="A100" s="2" t="inlineStr">
        <is>
          <t>IRL 501</t>
        </is>
      </c>
      <c r="B100" s="2" t="inlineStr">
        <is>
          <t>Theories of International Relations</t>
        </is>
      </c>
      <c r="C100" s="2" t="n">
        <v>6</v>
      </c>
    </row>
    <row r="101">
      <c r="A101" s="2" t="inlineStr">
        <is>
          <t>IRL 510</t>
        </is>
      </c>
      <c r="B101" s="2" t="inlineStr">
        <is>
          <t>Global Political Economy</t>
        </is>
      </c>
      <c r="C101" s="2" t="n">
        <v>6</v>
      </c>
    </row>
    <row r="102">
      <c r="A102" s="2" t="inlineStr">
        <is>
          <t>IRL 520</t>
        </is>
      </c>
      <c r="B102" s="2" t="inlineStr">
        <is>
          <t>International Law</t>
        </is>
      </c>
      <c r="C102" s="2" t="n">
        <v>6</v>
      </c>
    </row>
    <row r="103">
      <c r="A103" s="2" t="inlineStr">
        <is>
          <t>IRL 530</t>
        </is>
      </c>
      <c r="B103" s="2" t="inlineStr">
        <is>
          <t>Research Design</t>
        </is>
      </c>
      <c r="C103" s="2" t="n">
        <v>6</v>
      </c>
    </row>
    <row r="104">
      <c r="A104" s="2" t="inlineStr">
        <is>
          <t>IRL 540</t>
        </is>
      </c>
      <c r="B104" s="2" t="inlineStr">
        <is>
          <t>Diplomacy and Statecraft</t>
        </is>
      </c>
      <c r="C104" s="2" t="n">
        <v>6</v>
      </c>
    </row>
    <row r="105">
      <c r="A105" s="2" t="inlineStr">
        <is>
          <t>IRL 550</t>
        </is>
      </c>
      <c r="B105" s="2" t="inlineStr">
        <is>
          <t>Security Studies</t>
        </is>
      </c>
      <c r="C105" s="2" t="n">
        <v>6</v>
      </c>
    </row>
    <row r="106">
      <c r="A106" s="2" t="inlineStr">
        <is>
          <t>IRL 560</t>
        </is>
      </c>
      <c r="B106" s="2" t="inlineStr">
        <is>
          <t>Central Asia in World Politics</t>
        </is>
      </c>
      <c r="C106" s="2" t="n">
        <v>6</v>
      </c>
    </row>
    <row r="107">
      <c r="A107" s="2" t="inlineStr">
        <is>
          <t>IRL 570</t>
        </is>
      </c>
      <c r="B107" s="2" t="inlineStr">
        <is>
          <t>International Organizations</t>
        </is>
      </c>
      <c r="C107" s="2" t="n">
        <v>6</v>
      </c>
    </row>
    <row r="108">
      <c r="A108" s="2" t="inlineStr">
        <is>
          <t>IRL 580</t>
        </is>
      </c>
      <c r="B108" s="2" t="inlineStr">
        <is>
          <t>Foreign Policy Analysis</t>
        </is>
      </c>
      <c r="C108" s="2" t="n">
        <v>6</v>
      </c>
    </row>
    <row r="109">
      <c r="A109" s="2" t="inlineStr">
        <is>
          <t>IRL 590</t>
        </is>
      </c>
      <c r="B109" s="2" t="inlineStr">
        <is>
          <t>Quantitative Methods</t>
        </is>
      </c>
      <c r="C109" s="2" t="n">
        <v>6</v>
      </c>
    </row>
    <row r="110">
      <c r="A110" s="2" t="inlineStr">
        <is>
          <t>IRL 610</t>
        </is>
      </c>
      <c r="B110" s="2" t="inlineStr">
        <is>
          <t>Conflict Resolution</t>
        </is>
      </c>
      <c r="C110" s="2" t="n">
        <v>6</v>
      </c>
    </row>
    <row r="111">
      <c r="A111" s="2" t="inlineStr">
        <is>
          <t>IRL 620</t>
        </is>
      </c>
      <c r="B111" s="2" t="inlineStr">
        <is>
          <t>Energy Geopolitics</t>
        </is>
      </c>
      <c r="C111" s="2" t="n">
        <v>6</v>
      </c>
    </row>
    <row r="112">
      <c r="A112" s="2" t="inlineStr">
        <is>
          <t>IRL 630</t>
        </is>
      </c>
      <c r="B112" s="2" t="inlineStr">
        <is>
          <t>Human Rights and Global Governance</t>
        </is>
      </c>
      <c r="C112" s="2" t="n">
        <v>6</v>
      </c>
    </row>
    <row r="113">
      <c r="A113" s="2" t="inlineStr">
        <is>
          <t>IRL 640</t>
        </is>
      </c>
      <c r="B113" s="2" t="inlineStr">
        <is>
          <t>Regional Integration</t>
        </is>
      </c>
      <c r="C113" s="2" t="n">
        <v>6</v>
      </c>
    </row>
    <row r="114">
      <c r="A114" s="2" t="inlineStr">
        <is>
          <t>IRL 690</t>
        </is>
      </c>
      <c r="B114" s="2" t="inlineStr">
        <is>
          <t>Master's Thesis Seminar</t>
        </is>
      </c>
      <c r="C114" s="2" t="n">
        <v>6</v>
      </c>
    </row>
    <row r="115">
      <c r="A115" s="2" t="inlineStr">
        <is>
          <t>IRL 650</t>
        </is>
      </c>
      <c r="B115" s="2" t="inlineStr">
        <is>
          <t>Public Diplomacy</t>
        </is>
      </c>
      <c r="C115" s="2" t="n">
        <v>6</v>
      </c>
    </row>
    <row r="116">
      <c r="A116" s="2" t="inlineStr">
        <is>
          <t>IRL 660</t>
        </is>
      </c>
      <c r="B116" s="2" t="inlineStr">
        <is>
          <t>Migration and Global Mobility</t>
        </is>
      </c>
      <c r="C116" s="2" t="n">
        <v>6</v>
      </c>
    </row>
    <row r="117">
      <c r="A117" s="2" t="inlineStr">
        <is>
          <t>IRL 670</t>
        </is>
      </c>
      <c r="B117" s="2" t="inlineStr">
        <is>
          <t>Environmental Politics</t>
        </is>
      </c>
      <c r="C117" s="2" t="n">
        <v>6</v>
      </c>
    </row>
    <row r="118">
      <c r="A118" s="2" t="inlineStr">
        <is>
          <t>IRL 680</t>
        </is>
      </c>
      <c r="B118" s="2" t="inlineStr">
        <is>
          <t>Negotiation Simulation</t>
        </is>
      </c>
      <c r="C118" s="2" t="n">
        <v>6</v>
      </c>
    </row>
    <row r="119">
      <c r="A119" s="2" t="inlineStr">
        <is>
          <t>IRL 699</t>
        </is>
      </c>
      <c r="B119" s="2" t="inlineStr">
        <is>
          <t>Master's Thesis</t>
        </is>
      </c>
      <c r="C119" s="2" t="n">
        <v>6</v>
      </c>
    </row>
    <row r="120">
      <c r="A120" s="2" t="inlineStr">
        <is>
          <t>CIV 101</t>
        </is>
      </c>
      <c r="B120" s="2" t="inlineStr">
        <is>
          <t>Engineering Drawing</t>
        </is>
      </c>
      <c r="C120" s="2" t="n">
        <v>6</v>
      </c>
    </row>
    <row r="121">
      <c r="A121" s="2" t="inlineStr">
        <is>
          <t>PHY 101</t>
        </is>
      </c>
      <c r="B121" s="2" t="inlineStr">
        <is>
          <t>Physics I: Mechanics</t>
        </is>
      </c>
      <c r="C121" s="2" t="n">
        <v>6</v>
      </c>
    </row>
    <row r="122">
      <c r="A122" s="2" t="inlineStr">
        <is>
          <t>CHM 101</t>
        </is>
      </c>
      <c r="B122" s="2" t="inlineStr">
        <is>
          <t>General Chemistry</t>
        </is>
      </c>
      <c r="C122" s="2" t="n">
        <v>6</v>
      </c>
    </row>
    <row r="123">
      <c r="A123" s="2" t="inlineStr">
        <is>
          <t>CIV 150</t>
        </is>
      </c>
      <c r="B123" s="2" t="inlineStr">
        <is>
          <t>Statics</t>
        </is>
      </c>
      <c r="C123" s="2" t="n">
        <v>6</v>
      </c>
    </row>
    <row r="124">
      <c r="A124" s="2" t="inlineStr">
        <is>
          <t>MTH 140</t>
        </is>
      </c>
      <c r="B124" s="2" t="inlineStr">
        <is>
          <t>Calculus II</t>
        </is>
      </c>
      <c r="C124" s="2" t="n">
        <v>6</v>
      </c>
    </row>
    <row r="125">
      <c r="A125" s="2" t="inlineStr">
        <is>
          <t>PHY 102</t>
        </is>
      </c>
      <c r="B125" s="2" t="inlineStr">
        <is>
          <t>Physics II: Electricity and Magnetism</t>
        </is>
      </c>
      <c r="C125" s="2" t="n">
        <v>6</v>
      </c>
    </row>
    <row r="126">
      <c r="A126" s="2" t="inlineStr">
        <is>
          <t>CIV 160</t>
        </is>
      </c>
      <c r="B126" s="2" t="inlineStr">
        <is>
          <t>Surveying</t>
        </is>
      </c>
      <c r="C126" s="2" t="n">
        <v>6</v>
      </c>
    </row>
    <row r="127">
      <c r="A127" s="2" t="inlineStr">
        <is>
          <t>CIV 210</t>
        </is>
      </c>
      <c r="B127" s="2" t="inlineStr">
        <is>
          <t>Strength of Materials</t>
        </is>
      </c>
      <c r="C127" s="2" t="n">
        <v>6</v>
      </c>
    </row>
    <row r="128">
      <c r="A128" s="2" t="inlineStr">
        <is>
          <t>CIV 220</t>
        </is>
      </c>
      <c r="B128" s="2" t="inlineStr">
        <is>
          <t>Construction Materials</t>
        </is>
      </c>
      <c r="C128" s="2" t="n">
        <v>6</v>
      </c>
    </row>
    <row r="129">
      <c r="A129" s="2" t="inlineStr">
        <is>
          <t>CIV 230</t>
        </is>
      </c>
      <c r="B129" s="2" t="inlineStr">
        <is>
          <t>Fluid Mechanics</t>
        </is>
      </c>
      <c r="C129" s="2" t="n">
        <v>6</v>
      </c>
    </row>
    <row r="130">
      <c r="A130" s="2" t="inlineStr">
        <is>
          <t>MTH 210</t>
        </is>
      </c>
      <c r="B130" s="2" t="inlineStr">
        <is>
          <t>Differential Equations</t>
        </is>
      </c>
      <c r="C130" s="2" t="n">
        <v>6</v>
      </c>
    </row>
    <row r="131">
      <c r="A131" s="2" t="inlineStr">
        <is>
          <t>CIV 240</t>
        </is>
      </c>
      <c r="B131" s="2" t="inlineStr">
        <is>
          <t>Computer-Aided Design (CAD)</t>
        </is>
      </c>
      <c r="C131" s="2" t="n">
        <v>6</v>
      </c>
    </row>
    <row r="132">
      <c r="A132" s="2" t="inlineStr">
        <is>
          <t>CIV 250</t>
        </is>
      </c>
      <c r="B132" s="2" t="inlineStr">
        <is>
          <t>Structural Analysis</t>
        </is>
      </c>
      <c r="C132" s="2" t="n">
        <v>6</v>
      </c>
    </row>
    <row r="133">
      <c r="A133" s="2" t="inlineStr">
        <is>
          <t>CIV 260</t>
        </is>
      </c>
      <c r="B133" s="2" t="inlineStr">
        <is>
          <t>Soil Mechanics</t>
        </is>
      </c>
      <c r="C133" s="2" t="n">
        <v>6</v>
      </c>
    </row>
    <row r="134">
      <c r="A134" s="2" t="inlineStr">
        <is>
          <t>CIV 270</t>
        </is>
      </c>
      <c r="B134" s="2" t="inlineStr">
        <is>
          <t>Hydraulics</t>
        </is>
      </c>
      <c r="C134" s="2" t="n">
        <v>6</v>
      </c>
    </row>
    <row r="135">
      <c r="A135" s="2" t="inlineStr">
        <is>
          <t>CIV 280</t>
        </is>
      </c>
      <c r="B135" s="2" t="inlineStr">
        <is>
          <t>Transportation Engineering</t>
        </is>
      </c>
      <c r="C135" s="2" t="n">
        <v>6</v>
      </c>
    </row>
    <row r="136">
      <c r="A136" s="2" t="inlineStr">
        <is>
          <t>CIV 290</t>
        </is>
      </c>
      <c r="B136" s="2" t="inlineStr">
        <is>
          <t>Construction Management</t>
        </is>
      </c>
      <c r="C136" s="2" t="n">
        <v>6</v>
      </c>
    </row>
    <row r="137">
      <c r="A137" s="2" t="inlineStr">
        <is>
          <t>ART 101</t>
        </is>
      </c>
      <c r="B137" s="2" t="inlineStr">
        <is>
          <t>Drawing Fundamentals</t>
        </is>
      </c>
      <c r="C137" s="2" t="n">
        <v>6</v>
      </c>
    </row>
    <row r="138">
      <c r="A138" s="2" t="inlineStr">
        <is>
          <t>DES 101</t>
        </is>
      </c>
      <c r="B138" s="2" t="inlineStr">
        <is>
          <t>Design Principles</t>
        </is>
      </c>
      <c r="C138" s="2" t="n">
        <v>6</v>
      </c>
    </row>
    <row r="139">
      <c r="A139" s="2" t="inlineStr">
        <is>
          <t>ART 110</t>
        </is>
      </c>
      <c r="B139" s="2" t="inlineStr">
        <is>
          <t>Color Theory</t>
        </is>
      </c>
      <c r="C139" s="2" t="n">
        <v>6</v>
      </c>
    </row>
    <row r="140">
      <c r="A140" s="2" t="inlineStr">
        <is>
          <t>HIS 101</t>
        </is>
      </c>
      <c r="B140" s="2" t="inlineStr">
        <is>
          <t>History of Art</t>
        </is>
      </c>
      <c r="C140" s="2" t="n">
        <v>6</v>
      </c>
    </row>
    <row r="141">
      <c r="A141" s="2" t="inlineStr">
        <is>
          <t>DES 150</t>
        </is>
      </c>
      <c r="B141" s="2" t="inlineStr">
        <is>
          <t>Typography I</t>
        </is>
      </c>
      <c r="C141" s="2" t="n">
        <v>6</v>
      </c>
    </row>
    <row r="142">
      <c r="A142" s="2" t="inlineStr">
        <is>
          <t>DES 160</t>
        </is>
      </c>
      <c r="B142" s="2" t="inlineStr">
        <is>
          <t>Digital Imaging</t>
        </is>
      </c>
      <c r="C142" s="2" t="n">
        <v>6</v>
      </c>
    </row>
    <row r="143">
      <c r="A143" s="2" t="inlineStr">
        <is>
          <t>DES 170</t>
        </is>
      </c>
      <c r="B143" s="2" t="inlineStr">
        <is>
          <t>Visual Communication</t>
        </is>
      </c>
      <c r="C143" s="2" t="n">
        <v>6</v>
      </c>
    </row>
    <row r="144">
      <c r="A144" s="2" t="inlineStr">
        <is>
          <t>ART 150</t>
        </is>
      </c>
      <c r="B144" s="2" t="inlineStr">
        <is>
          <t>Photography Basics</t>
        </is>
      </c>
      <c r="C144" s="2" t="n">
        <v>6</v>
      </c>
    </row>
    <row r="145">
      <c r="A145" s="2" t="inlineStr">
        <is>
          <t>DES 210</t>
        </is>
      </c>
      <c r="B145" s="2" t="inlineStr">
        <is>
          <t>Typography II</t>
        </is>
      </c>
      <c r="C145" s="2" t="n">
        <v>6</v>
      </c>
    </row>
    <row r="146">
      <c r="A146" s="2" t="inlineStr">
        <is>
          <t>DES 220</t>
        </is>
      </c>
      <c r="B146" s="2" t="inlineStr">
        <is>
          <t>Brand Identity Design</t>
        </is>
      </c>
      <c r="C146" s="2" t="n">
        <v>6</v>
      </c>
    </row>
    <row r="147">
      <c r="A147" s="2" t="inlineStr">
        <is>
          <t>DES 230</t>
        </is>
      </c>
      <c r="B147" s="2" t="inlineStr">
        <is>
          <t>UI/UX Design</t>
        </is>
      </c>
      <c r="C147" s="2" t="n">
        <v>6</v>
      </c>
    </row>
    <row r="148">
      <c r="A148" s="2" t="inlineStr">
        <is>
          <t>DES 240</t>
        </is>
      </c>
      <c r="B148" s="2" t="inlineStr">
        <is>
          <t>Motion Graphics</t>
        </is>
      </c>
      <c r="C148" s="2" t="n">
        <v>6</v>
      </c>
    </row>
    <row r="149">
      <c r="A149" s="2" t="inlineStr">
        <is>
          <t>DES 250</t>
        </is>
      </c>
      <c r="B149" s="2" t="inlineStr">
        <is>
          <t>Print Production</t>
        </is>
      </c>
      <c r="C149" s="2" t="n">
        <v>6</v>
      </c>
    </row>
    <row r="150">
      <c r="A150" s="2" t="inlineStr">
        <is>
          <t>DES 260</t>
        </is>
      </c>
      <c r="B150" s="2" t="inlineStr">
        <is>
          <t>Packaging Design</t>
        </is>
      </c>
      <c r="C150" s="2" t="n">
        <v>6</v>
      </c>
    </row>
    <row r="151">
      <c r="A151" s="2" t="inlineStr">
        <is>
          <t>DES 270</t>
        </is>
      </c>
      <c r="B151" s="2" t="inlineStr">
        <is>
          <t>Illustration</t>
        </is>
      </c>
      <c r="C151" s="2" t="n">
        <v>6</v>
      </c>
    </row>
    <row r="152">
      <c r="A152" s="2" t="inlineStr">
        <is>
          <t>DES 280</t>
        </is>
      </c>
      <c r="B152" s="2" t="inlineStr">
        <is>
          <t>Interaction Design</t>
        </is>
      </c>
      <c r="C152" s="2" t="n">
        <v>6</v>
      </c>
    </row>
    <row r="153">
      <c r="A153" s="2" t="inlineStr">
        <is>
          <t>DES 290</t>
        </is>
      </c>
      <c r="B153" s="2" t="inlineStr">
        <is>
          <t>Portfolio Development</t>
        </is>
      </c>
      <c r="C153" s="2" t="n">
        <v>6</v>
      </c>
    </row>
    <row r="154">
      <c r="A154" s="2" t="inlineStr">
        <is>
          <t>ART 210</t>
        </is>
      </c>
      <c r="B154" s="2" t="inlineStr">
        <is>
          <t>Contemporary Art and Culture</t>
        </is>
      </c>
      <c r="C154" s="2" t="n">
        <v>6</v>
      </c>
    </row>
  </sheetData>
  <autoFilter ref="A1:C1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3" customWidth="1" min="3" max="3"/>
    <col width="12" customWidth="1" min="4" max="4"/>
    <col width="12" customWidth="1" min="5" max="5"/>
    <col width="50" customWidth="1" min="6" max="6"/>
    <col width="7" customWidth="1" min="7" max="7"/>
    <col width="8" customWidth="1" min="8" max="8"/>
    <col width="11" customWidth="1" min="9" max="9"/>
    <col width="12" customWidth="1" min="10" max="10"/>
    <col width="13" customWidth="1" min="11" max="11"/>
    <col width="12" customWidth="1" min="12" max="12"/>
  </cols>
  <sheetData>
    <row r="1" ht="30" customHeight="1">
      <c r="A1" s="1" t="inlineStr">
        <is>
          <t>Student ID</t>
        </is>
      </c>
      <c r="B1" s="1" t="inlineStr">
        <is>
          <t>Student Name</t>
        </is>
      </c>
      <c r="C1" s="1" t="inlineStr">
        <is>
          <t>Term</t>
        </is>
      </c>
      <c r="D1" s="1" t="inlineStr">
        <is>
          <t>Semester</t>
        </is>
      </c>
      <c r="E1" s="1" t="inlineStr">
        <is>
          <t>Course Code</t>
        </is>
      </c>
      <c r="F1" s="1" t="inlineStr">
        <is>
          <t>Course Title</t>
        </is>
      </c>
      <c r="G1" s="1" t="inlineStr">
        <is>
          <t>ECTS</t>
        </is>
      </c>
      <c r="H1" s="1" t="inlineStr">
        <is>
          <t>Grade</t>
        </is>
      </c>
      <c r="I1" s="1" t="inlineStr">
        <is>
          <t>Final Score</t>
        </is>
      </c>
      <c r="J1" s="1" t="inlineStr">
        <is>
          <t>Grade Points</t>
        </is>
      </c>
      <c r="K1" s="1" t="inlineStr">
        <is>
          <t>Quality Points</t>
        </is>
      </c>
      <c r="L1" s="1" t="inlineStr">
        <is>
          <t>ECTS Earned</t>
        </is>
      </c>
    </row>
    <row r="2">
      <c r="A2" s="2" t="inlineStr">
        <is>
          <t>m240101</t>
        </is>
      </c>
      <c r="B2" s="2">
        <f>IFERROR(VLOOKUP(A2,Students!$A:$B,2,FALSE),"")</f>
        <v/>
      </c>
      <c r="C2" s="2" t="inlineStr">
        <is>
          <t>Fall 2024</t>
        </is>
      </c>
      <c r="D2" s="2" t="inlineStr">
        <is>
          <t>Semester 1</t>
        </is>
      </c>
      <c r="E2" s="2" t="inlineStr">
        <is>
          <t>TAM 530</t>
        </is>
      </c>
      <c r="F2" s="2">
        <f>IFERROR(VLOOKUP(E2,Courses!$A:$C,2,FALSE),"")</f>
        <v/>
      </c>
      <c r="G2" s="2">
        <f>IFERROR(VLOOKUP(E2,Courses!$A:$C,3,FALSE),0)</f>
        <v/>
      </c>
      <c r="H2" s="2" t="inlineStr">
        <is>
          <t>A</t>
        </is>
      </c>
      <c r="I2" s="2" t="n">
        <v>95</v>
      </c>
      <c r="J2" s="2">
        <f>IFERROR(VLOOKUP(H2,'Grade Scale'!$A:$B,2,FALSE),0)</f>
        <v/>
      </c>
      <c r="K2" s="2">
        <f>J2*G2</f>
        <v/>
      </c>
      <c r="L2" s="2">
        <f>IF(H2="F",0,G2)</f>
        <v/>
      </c>
    </row>
    <row r="3">
      <c r="A3" s="2" t="inlineStr">
        <is>
          <t>m240101</t>
        </is>
      </c>
      <c r="B3" s="2">
        <f>IFERROR(VLOOKUP(A3,Students!$A:$B,2,FALSE),"")</f>
        <v/>
      </c>
      <c r="C3" s="2" t="inlineStr">
        <is>
          <t>Fall 2024</t>
        </is>
      </c>
      <c r="D3" s="2" t="inlineStr">
        <is>
          <t>Semester 1</t>
        </is>
      </c>
      <c r="E3" s="2" t="inlineStr">
        <is>
          <t>TGM 586</t>
        </is>
      </c>
      <c r="F3" s="2">
        <f>IFERROR(VLOOKUP(E3,Courses!$A:$C,2,FALSE),"")</f>
        <v/>
      </c>
      <c r="G3" s="2">
        <f>IFERROR(VLOOKUP(E3,Courses!$A:$C,3,FALSE),0)</f>
        <v/>
      </c>
      <c r="H3" s="2" t="inlineStr">
        <is>
          <t>A</t>
        </is>
      </c>
      <c r="I3" s="2" t="n">
        <v>95</v>
      </c>
      <c r="J3" s="2">
        <f>IFERROR(VLOOKUP(H3,'Grade Scale'!$A:$B,2,FALSE),0)</f>
        <v/>
      </c>
      <c r="K3" s="2">
        <f>J3*G3</f>
        <v/>
      </c>
      <c r="L3" s="2">
        <f>IF(H3="F",0,G3)</f>
        <v/>
      </c>
    </row>
    <row r="4">
      <c r="A4" s="2" t="inlineStr">
        <is>
          <t>m240101</t>
        </is>
      </c>
      <c r="B4" s="2">
        <f>IFERROR(VLOOKUP(A4,Students!$A:$B,2,FALSE),"")</f>
        <v/>
      </c>
      <c r="C4" s="2" t="inlineStr">
        <is>
          <t>Fall 2024</t>
        </is>
      </c>
      <c r="D4" s="2" t="inlineStr">
        <is>
          <t>Semester 1</t>
        </is>
      </c>
      <c r="E4" s="2" t="inlineStr">
        <is>
          <t>TAM 557</t>
        </is>
      </c>
      <c r="F4" s="2">
        <f>IFERROR(VLOOKUP(E4,Courses!$A:$C,2,FALSE),"")</f>
        <v/>
      </c>
      <c r="G4" s="2">
        <f>IFERROR(VLOOKUP(E4,Courses!$A:$C,3,FALSE),0)</f>
        <v/>
      </c>
      <c r="H4" s="2" t="inlineStr">
        <is>
          <t>C+</t>
        </is>
      </c>
      <c r="I4" s="2" t="n">
        <v>78</v>
      </c>
      <c r="J4" s="2">
        <f>IFERROR(VLOOKUP(H4,'Grade Scale'!$A:$B,2,FALSE),0)</f>
        <v/>
      </c>
      <c r="K4" s="2">
        <f>J4*G4</f>
        <v/>
      </c>
      <c r="L4" s="2">
        <f>IF(H4="F",0,G4)</f>
        <v/>
      </c>
    </row>
    <row r="5">
      <c r="A5" s="2" t="inlineStr">
        <is>
          <t>m240101</t>
        </is>
      </c>
      <c r="B5" s="2">
        <f>IFERROR(VLOOKUP(A5,Students!$A:$B,2,FALSE),"")</f>
        <v/>
      </c>
      <c r="C5" s="2" t="inlineStr">
        <is>
          <t>Fall 2024</t>
        </is>
      </c>
      <c r="D5" s="2" t="inlineStr">
        <is>
          <t>Semester 1</t>
        </is>
      </c>
      <c r="E5" s="2" t="inlineStr">
        <is>
          <t>TAM 542</t>
        </is>
      </c>
      <c r="F5" s="2">
        <f>IFERROR(VLOOKUP(E5,Courses!$A:$C,2,FALSE),"")</f>
        <v/>
      </c>
      <c r="G5" s="2">
        <f>IFERROR(VLOOKUP(E5,Courses!$A:$C,3,FALSE),0)</f>
        <v/>
      </c>
      <c r="H5" s="2" t="inlineStr">
        <is>
          <t>B+</t>
        </is>
      </c>
      <c r="I5" s="2" t="n">
        <v>89</v>
      </c>
      <c r="J5" s="2">
        <f>IFERROR(VLOOKUP(H5,'Grade Scale'!$A:$B,2,FALSE),0)</f>
        <v/>
      </c>
      <c r="K5" s="2">
        <f>J5*G5</f>
        <v/>
      </c>
      <c r="L5" s="2">
        <f>IF(H5="F",0,G5)</f>
        <v/>
      </c>
    </row>
    <row r="6">
      <c r="A6" s="2" t="inlineStr">
        <is>
          <t>m240101</t>
        </is>
      </c>
      <c r="B6" s="2">
        <f>IFERROR(VLOOKUP(A6,Students!$A:$B,2,FALSE),"")</f>
        <v/>
      </c>
      <c r="C6" s="2" t="inlineStr">
        <is>
          <t>Fall 2024</t>
        </is>
      </c>
      <c r="D6" s="2" t="inlineStr">
        <is>
          <t>Semester 1</t>
        </is>
      </c>
      <c r="E6" s="2" t="inlineStr">
        <is>
          <t>TAM 511</t>
        </is>
      </c>
      <c r="F6" s="2">
        <f>IFERROR(VLOOKUP(E6,Courses!$A:$C,2,FALSE),"")</f>
        <v/>
      </c>
      <c r="G6" s="2">
        <f>IFERROR(VLOOKUP(E6,Courses!$A:$C,3,FALSE),0)</f>
        <v/>
      </c>
      <c r="H6" s="2" t="inlineStr">
        <is>
          <t>A</t>
        </is>
      </c>
      <c r="I6" s="2" t="n">
        <v>93</v>
      </c>
      <c r="J6" s="2">
        <f>IFERROR(VLOOKUP(H6,'Grade Scale'!$A:$B,2,FALSE),0)</f>
        <v/>
      </c>
      <c r="K6" s="2">
        <f>J6*G6</f>
        <v/>
      </c>
      <c r="L6" s="2">
        <f>IF(H6="F",0,G6)</f>
        <v/>
      </c>
    </row>
    <row r="7">
      <c r="A7" s="2" t="inlineStr">
        <is>
          <t>m240101</t>
        </is>
      </c>
      <c r="B7" s="2">
        <f>IFERROR(VLOOKUP(A7,Students!$A:$B,2,FALSE),"")</f>
        <v/>
      </c>
      <c r="C7" s="2" t="inlineStr">
        <is>
          <t>Spring 2025</t>
        </is>
      </c>
      <c r="D7" s="2" t="inlineStr">
        <is>
          <t>Semester 2</t>
        </is>
      </c>
      <c r="E7" s="2" t="inlineStr">
        <is>
          <t>IAL 503</t>
        </is>
      </c>
      <c r="F7" s="2">
        <f>IFERROR(VLOOKUP(E7,Courses!$A:$C,2,FALSE),"")</f>
        <v/>
      </c>
      <c r="G7" s="2">
        <f>IFERROR(VLOOKUP(E7,Courses!$A:$C,3,FALSE),0)</f>
        <v/>
      </c>
      <c r="H7" s="2" t="inlineStr">
        <is>
          <t>A</t>
        </is>
      </c>
      <c r="I7" s="2" t="n">
        <v>93</v>
      </c>
      <c r="J7" s="2">
        <f>IFERROR(VLOOKUP(H7,'Grade Scale'!$A:$B,2,FALSE),0)</f>
        <v/>
      </c>
      <c r="K7" s="2">
        <f>J7*G7</f>
        <v/>
      </c>
      <c r="L7" s="2">
        <f>IF(H7="F",0,G7)</f>
        <v/>
      </c>
    </row>
    <row r="8">
      <c r="A8" s="2" t="inlineStr">
        <is>
          <t>m240101</t>
        </is>
      </c>
      <c r="B8" s="2">
        <f>IFERROR(VLOOKUP(A8,Students!$A:$B,2,FALSE),"")</f>
        <v/>
      </c>
      <c r="C8" s="2" t="inlineStr">
        <is>
          <t>Spring 2025</t>
        </is>
      </c>
      <c r="D8" s="2" t="inlineStr">
        <is>
          <t>Semester 2</t>
        </is>
      </c>
      <c r="E8" s="2" t="inlineStr">
        <is>
          <t>FIN 560</t>
        </is>
      </c>
      <c r="F8" s="2">
        <f>IFERROR(VLOOKUP(E8,Courses!$A:$C,2,FALSE),"")</f>
        <v/>
      </c>
      <c r="G8" s="2">
        <f>IFERROR(VLOOKUP(E8,Courses!$A:$C,3,FALSE),0)</f>
        <v/>
      </c>
      <c r="H8" s="2" t="inlineStr">
        <is>
          <t>B</t>
        </is>
      </c>
      <c r="I8" s="2" t="n">
        <v>84</v>
      </c>
      <c r="J8" s="2">
        <f>IFERROR(VLOOKUP(H8,'Grade Scale'!$A:$B,2,FALSE),0)</f>
        <v/>
      </c>
      <c r="K8" s="2">
        <f>J8*G8</f>
        <v/>
      </c>
      <c r="L8" s="2">
        <f>IF(H8="F",0,G8)</f>
        <v/>
      </c>
    </row>
    <row r="9">
      <c r="A9" s="2" t="inlineStr">
        <is>
          <t>m240101</t>
        </is>
      </c>
      <c r="B9" s="2">
        <f>IFERROR(VLOOKUP(A9,Students!$A:$B,2,FALSE),"")</f>
        <v/>
      </c>
      <c r="C9" s="2" t="inlineStr">
        <is>
          <t>Spring 2025</t>
        </is>
      </c>
      <c r="D9" s="2" t="inlineStr">
        <is>
          <t>Semester 2</t>
        </is>
      </c>
      <c r="E9" s="2" t="inlineStr">
        <is>
          <t>TGM 551</t>
        </is>
      </c>
      <c r="F9" s="2">
        <f>IFERROR(VLOOKUP(E9,Courses!$A:$C,2,FALSE),"")</f>
        <v/>
      </c>
      <c r="G9" s="2">
        <f>IFERROR(VLOOKUP(E9,Courses!$A:$C,3,FALSE),0)</f>
        <v/>
      </c>
      <c r="H9" s="2" t="inlineStr">
        <is>
          <t>B</t>
        </is>
      </c>
      <c r="I9" s="2" t="n">
        <v>85</v>
      </c>
      <c r="J9" s="2">
        <f>IFERROR(VLOOKUP(H9,'Grade Scale'!$A:$B,2,FALSE),0)</f>
        <v/>
      </c>
      <c r="K9" s="2">
        <f>J9*G9</f>
        <v/>
      </c>
      <c r="L9" s="2">
        <f>IF(H9="F",0,G9)</f>
        <v/>
      </c>
    </row>
    <row r="10">
      <c r="A10" s="2" t="inlineStr">
        <is>
          <t>m240101</t>
        </is>
      </c>
      <c r="B10" s="2">
        <f>IFERROR(VLOOKUP(A10,Students!$A:$B,2,FALSE),"")</f>
        <v/>
      </c>
      <c r="C10" s="2" t="inlineStr">
        <is>
          <t>Spring 2025</t>
        </is>
      </c>
      <c r="D10" s="2" t="inlineStr">
        <is>
          <t>Semester 2</t>
        </is>
      </c>
      <c r="E10" s="2" t="inlineStr">
        <is>
          <t>TAM 505</t>
        </is>
      </c>
      <c r="F10" s="2">
        <f>IFERROR(VLOOKUP(E10,Courses!$A:$C,2,FALSE),"")</f>
        <v/>
      </c>
      <c r="G10" s="2">
        <f>IFERROR(VLOOKUP(E10,Courses!$A:$C,3,FALSE),0)</f>
        <v/>
      </c>
      <c r="H10" s="2" t="inlineStr">
        <is>
          <t>A-</t>
        </is>
      </c>
      <c r="I10" s="2" t="n">
        <v>92</v>
      </c>
      <c r="J10" s="2">
        <f>IFERROR(VLOOKUP(H10,'Grade Scale'!$A:$B,2,FALSE),0)</f>
        <v/>
      </c>
      <c r="K10" s="2">
        <f>J10*G10</f>
        <v/>
      </c>
      <c r="L10" s="2">
        <f>IF(H10="F",0,G10)</f>
        <v/>
      </c>
    </row>
    <row r="11">
      <c r="A11" s="2" t="inlineStr">
        <is>
          <t>m240101</t>
        </is>
      </c>
      <c r="B11" s="2">
        <f>IFERROR(VLOOKUP(A11,Students!$A:$B,2,FALSE),"")</f>
        <v/>
      </c>
      <c r="C11" s="2" t="inlineStr">
        <is>
          <t>Spring 2025</t>
        </is>
      </c>
      <c r="D11" s="2" t="inlineStr">
        <is>
          <t>Semester 2</t>
        </is>
      </c>
      <c r="E11" s="2" t="inlineStr">
        <is>
          <t>TGM 507</t>
        </is>
      </c>
      <c r="F11" s="2">
        <f>IFERROR(VLOOKUP(E11,Courses!$A:$C,2,FALSE),"")</f>
        <v/>
      </c>
      <c r="G11" s="2">
        <f>IFERROR(VLOOKUP(E11,Courses!$A:$C,3,FALSE),0)</f>
        <v/>
      </c>
      <c r="H11" s="2" t="inlineStr">
        <is>
          <t>B</t>
        </is>
      </c>
      <c r="I11" s="2" t="n">
        <v>83</v>
      </c>
      <c r="J11" s="2">
        <f>IFERROR(VLOOKUP(H11,'Grade Scale'!$A:$B,2,FALSE),0)</f>
        <v/>
      </c>
      <c r="K11" s="2">
        <f>J11*G11</f>
        <v/>
      </c>
      <c r="L11" s="2">
        <f>IF(H11="F",0,G11)</f>
        <v/>
      </c>
    </row>
    <row r="12">
      <c r="A12" s="2" t="inlineStr">
        <is>
          <t>m240101</t>
        </is>
      </c>
      <c r="B12" s="2">
        <f>IFERROR(VLOOKUP(A12,Students!$A:$B,2,FALSE),"")</f>
        <v/>
      </c>
      <c r="C12" s="2" t="inlineStr">
        <is>
          <t>Fall 2025</t>
        </is>
      </c>
      <c r="D12" s="2" t="inlineStr">
        <is>
          <t>Semester 3</t>
        </is>
      </c>
      <c r="E12" s="2" t="inlineStr">
        <is>
          <t>TGM 610</t>
        </is>
      </c>
      <c r="F12" s="2">
        <f>IFERROR(VLOOKUP(E12,Courses!$A:$C,2,FALSE),"")</f>
        <v/>
      </c>
      <c r="G12" s="2">
        <f>IFERROR(VLOOKUP(E12,Courses!$A:$C,3,FALSE),0)</f>
        <v/>
      </c>
      <c r="H12" s="2" t="inlineStr">
        <is>
          <t>B+</t>
        </is>
      </c>
      <c r="I12" s="2" t="n">
        <v>89</v>
      </c>
      <c r="J12" s="2">
        <f>IFERROR(VLOOKUP(H12,'Grade Scale'!$A:$B,2,FALSE),0)</f>
        <v/>
      </c>
      <c r="K12" s="2">
        <f>J12*G12</f>
        <v/>
      </c>
      <c r="L12" s="2">
        <f>IF(H12="F",0,G12)</f>
        <v/>
      </c>
    </row>
    <row r="13">
      <c r="A13" s="2" t="inlineStr">
        <is>
          <t>m240101</t>
        </is>
      </c>
      <c r="B13" s="2">
        <f>IFERROR(VLOOKUP(A13,Students!$A:$B,2,FALSE),"")</f>
        <v/>
      </c>
      <c r="C13" s="2" t="inlineStr">
        <is>
          <t>Fall 2025</t>
        </is>
      </c>
      <c r="D13" s="2" t="inlineStr">
        <is>
          <t>Semester 3</t>
        </is>
      </c>
      <c r="E13" s="2" t="inlineStr">
        <is>
          <t>TGM 622</t>
        </is>
      </c>
      <c r="F13" s="2">
        <f>IFERROR(VLOOKUP(E13,Courses!$A:$C,2,FALSE),"")</f>
        <v/>
      </c>
      <c r="G13" s="2">
        <f>IFERROR(VLOOKUP(E13,Courses!$A:$C,3,FALSE),0)</f>
        <v/>
      </c>
      <c r="H13" s="2" t="inlineStr">
        <is>
          <t>B-</t>
        </is>
      </c>
      <c r="I13" s="2" t="n">
        <v>80</v>
      </c>
      <c r="J13" s="2">
        <f>IFERROR(VLOOKUP(H13,'Grade Scale'!$A:$B,2,FALSE),0)</f>
        <v/>
      </c>
      <c r="K13" s="2">
        <f>J13*G13</f>
        <v/>
      </c>
      <c r="L13" s="2">
        <f>IF(H13="F",0,G13)</f>
        <v/>
      </c>
    </row>
    <row r="14">
      <c r="A14" s="2" t="inlineStr">
        <is>
          <t>m240101</t>
        </is>
      </c>
      <c r="B14" s="2">
        <f>IFERROR(VLOOKUP(A14,Students!$A:$B,2,FALSE),"")</f>
        <v/>
      </c>
      <c r="C14" s="2" t="inlineStr">
        <is>
          <t>Fall 2025</t>
        </is>
      </c>
      <c r="D14" s="2" t="inlineStr">
        <is>
          <t>Semester 3</t>
        </is>
      </c>
      <c r="E14" s="2" t="inlineStr">
        <is>
          <t>TAM 615</t>
        </is>
      </c>
      <c r="F14" s="2">
        <f>IFERROR(VLOOKUP(E14,Courses!$A:$C,2,FALSE),"")</f>
        <v/>
      </c>
      <c r="G14" s="2">
        <f>IFERROR(VLOOKUP(E14,Courses!$A:$C,3,FALSE),0)</f>
        <v/>
      </c>
      <c r="H14" s="2" t="inlineStr">
        <is>
          <t>A-</t>
        </is>
      </c>
      <c r="I14" s="2" t="n">
        <v>90</v>
      </c>
      <c r="J14" s="2">
        <f>IFERROR(VLOOKUP(H14,'Grade Scale'!$A:$B,2,FALSE),0)</f>
        <v/>
      </c>
      <c r="K14" s="2">
        <f>J14*G14</f>
        <v/>
      </c>
      <c r="L14" s="2">
        <f>IF(H14="F",0,G14)</f>
        <v/>
      </c>
    </row>
    <row r="15">
      <c r="A15" s="2" t="inlineStr">
        <is>
          <t>m240101</t>
        </is>
      </c>
      <c r="B15" s="2">
        <f>IFERROR(VLOOKUP(A15,Students!$A:$B,2,FALSE),"")</f>
        <v/>
      </c>
      <c r="C15" s="2" t="inlineStr">
        <is>
          <t>Fall 2025</t>
        </is>
      </c>
      <c r="D15" s="2" t="inlineStr">
        <is>
          <t>Semester 3</t>
        </is>
      </c>
      <c r="E15" s="2" t="inlineStr">
        <is>
          <t>TGM 630</t>
        </is>
      </c>
      <c r="F15" s="2">
        <f>IFERROR(VLOOKUP(E15,Courses!$A:$C,2,FALSE),"")</f>
        <v/>
      </c>
      <c r="G15" s="2">
        <f>IFERROR(VLOOKUP(E15,Courses!$A:$C,3,FALSE),0)</f>
        <v/>
      </c>
      <c r="H15" s="2" t="inlineStr">
        <is>
          <t>B-</t>
        </is>
      </c>
      <c r="I15" s="2" t="n">
        <v>82</v>
      </c>
      <c r="J15" s="2">
        <f>IFERROR(VLOOKUP(H15,'Grade Scale'!$A:$B,2,FALSE),0)</f>
        <v/>
      </c>
      <c r="K15" s="2">
        <f>J15*G15</f>
        <v/>
      </c>
      <c r="L15" s="2">
        <f>IF(H15="F",0,G15)</f>
        <v/>
      </c>
    </row>
    <row r="16">
      <c r="A16" s="2" t="inlineStr">
        <is>
          <t>m240101</t>
        </is>
      </c>
      <c r="B16" s="2">
        <f>IFERROR(VLOOKUP(A16,Students!$A:$B,2,FALSE),"")</f>
        <v/>
      </c>
      <c r="C16" s="2" t="inlineStr">
        <is>
          <t>Fall 2025</t>
        </is>
      </c>
      <c r="D16" s="2" t="inlineStr">
        <is>
          <t>Semester 3</t>
        </is>
      </c>
      <c r="E16" s="2" t="inlineStr">
        <is>
          <t>TGM 690</t>
        </is>
      </c>
      <c r="F16" s="2">
        <f>IFERROR(VLOOKUP(E16,Courses!$A:$C,2,FALSE),"")</f>
        <v/>
      </c>
      <c r="G16" s="2">
        <f>IFERROR(VLOOKUP(E16,Courses!$A:$C,3,FALSE),0)</f>
        <v/>
      </c>
      <c r="H16" s="2" t="inlineStr">
        <is>
          <t>A-</t>
        </is>
      </c>
      <c r="I16" s="2" t="n">
        <v>91</v>
      </c>
      <c r="J16" s="2">
        <f>IFERROR(VLOOKUP(H16,'Grade Scale'!$A:$B,2,FALSE),0)</f>
        <v/>
      </c>
      <c r="K16" s="2">
        <f>J16*G16</f>
        <v/>
      </c>
      <c r="L16" s="2">
        <f>IF(H16="F",0,G16)</f>
        <v/>
      </c>
    </row>
    <row r="17">
      <c r="A17" s="2" t="inlineStr">
        <is>
          <t>m240101</t>
        </is>
      </c>
      <c r="B17" s="2">
        <f>IFERROR(VLOOKUP(A17,Students!$A:$B,2,FALSE),"")</f>
        <v/>
      </c>
      <c r="C17" s="2" t="inlineStr">
        <is>
          <t>Spring 2026</t>
        </is>
      </c>
      <c r="D17" s="2" t="inlineStr">
        <is>
          <t>Semester 4</t>
        </is>
      </c>
      <c r="E17" s="2" t="inlineStr">
        <is>
          <t>TGM 640</t>
        </is>
      </c>
      <c r="F17" s="2">
        <f>IFERROR(VLOOKUP(E17,Courses!$A:$C,2,FALSE),"")</f>
        <v/>
      </c>
      <c r="G17" s="2">
        <f>IFERROR(VLOOKUP(E17,Courses!$A:$C,3,FALSE),0)</f>
        <v/>
      </c>
      <c r="H17" s="2" t="inlineStr">
        <is>
          <t>A</t>
        </is>
      </c>
      <c r="I17" s="2" t="n">
        <v>98</v>
      </c>
      <c r="J17" s="2">
        <f>IFERROR(VLOOKUP(H17,'Grade Scale'!$A:$B,2,FALSE),0)</f>
        <v/>
      </c>
      <c r="K17" s="2">
        <f>J17*G17</f>
        <v/>
      </c>
      <c r="L17" s="2">
        <f>IF(H17="F",0,G17)</f>
        <v/>
      </c>
    </row>
    <row r="18">
      <c r="A18" s="2" t="inlineStr">
        <is>
          <t>m240101</t>
        </is>
      </c>
      <c r="B18" s="2">
        <f>IFERROR(VLOOKUP(A18,Students!$A:$B,2,FALSE),"")</f>
        <v/>
      </c>
      <c r="C18" s="2" t="inlineStr">
        <is>
          <t>Spring 2026</t>
        </is>
      </c>
      <c r="D18" s="2" t="inlineStr">
        <is>
          <t>Semester 4</t>
        </is>
      </c>
      <c r="E18" s="2" t="inlineStr">
        <is>
          <t>TGM 650</t>
        </is>
      </c>
      <c r="F18" s="2">
        <f>IFERROR(VLOOKUP(E18,Courses!$A:$C,2,FALSE),"")</f>
        <v/>
      </c>
      <c r="G18" s="2">
        <f>IFERROR(VLOOKUP(E18,Courses!$A:$C,3,FALSE),0)</f>
        <v/>
      </c>
      <c r="H18" s="2" t="inlineStr">
        <is>
          <t>A</t>
        </is>
      </c>
      <c r="I18" s="2" t="n">
        <v>98</v>
      </c>
      <c r="J18" s="2">
        <f>IFERROR(VLOOKUP(H18,'Grade Scale'!$A:$B,2,FALSE),0)</f>
        <v/>
      </c>
      <c r="K18" s="2">
        <f>J18*G18</f>
        <v/>
      </c>
      <c r="L18" s="2">
        <f>IF(H18="F",0,G18)</f>
        <v/>
      </c>
    </row>
    <row r="19">
      <c r="A19" s="2" t="inlineStr">
        <is>
          <t>m240101</t>
        </is>
      </c>
      <c r="B19" s="2">
        <f>IFERROR(VLOOKUP(A19,Students!$A:$B,2,FALSE),"")</f>
        <v/>
      </c>
      <c r="C19" s="2" t="inlineStr">
        <is>
          <t>Spring 2026</t>
        </is>
      </c>
      <c r="D19" s="2" t="inlineStr">
        <is>
          <t>Semester 4</t>
        </is>
      </c>
      <c r="E19" s="2" t="inlineStr">
        <is>
          <t>TGM 660</t>
        </is>
      </c>
      <c r="F19" s="2">
        <f>IFERROR(VLOOKUP(E19,Courses!$A:$C,2,FALSE),"")</f>
        <v/>
      </c>
      <c r="G19" s="2">
        <f>IFERROR(VLOOKUP(E19,Courses!$A:$C,3,FALSE),0)</f>
        <v/>
      </c>
      <c r="H19" s="2" t="inlineStr">
        <is>
          <t>A</t>
        </is>
      </c>
      <c r="I19" s="2" t="n">
        <v>97</v>
      </c>
      <c r="J19" s="2">
        <f>IFERROR(VLOOKUP(H19,'Grade Scale'!$A:$B,2,FALSE),0)</f>
        <v/>
      </c>
      <c r="K19" s="2">
        <f>J19*G19</f>
        <v/>
      </c>
      <c r="L19" s="2">
        <f>IF(H19="F",0,G19)</f>
        <v/>
      </c>
    </row>
    <row r="20">
      <c r="A20" s="2" t="inlineStr">
        <is>
          <t>m240101</t>
        </is>
      </c>
      <c r="B20" s="2">
        <f>IFERROR(VLOOKUP(A20,Students!$A:$B,2,FALSE),"")</f>
        <v/>
      </c>
      <c r="C20" s="2" t="inlineStr">
        <is>
          <t>Spring 2026</t>
        </is>
      </c>
      <c r="D20" s="2" t="inlineStr">
        <is>
          <t>Semester 4</t>
        </is>
      </c>
      <c r="E20" s="2" t="inlineStr">
        <is>
          <t>TGM 670</t>
        </is>
      </c>
      <c r="F20" s="2">
        <f>IFERROR(VLOOKUP(E20,Courses!$A:$C,2,FALSE),"")</f>
        <v/>
      </c>
      <c r="G20" s="2">
        <f>IFERROR(VLOOKUP(E20,Courses!$A:$C,3,FALSE),0)</f>
        <v/>
      </c>
      <c r="H20" s="2" t="inlineStr">
        <is>
          <t>B-</t>
        </is>
      </c>
      <c r="I20" s="2" t="n">
        <v>80</v>
      </c>
      <c r="J20" s="2">
        <f>IFERROR(VLOOKUP(H20,'Grade Scale'!$A:$B,2,FALSE),0)</f>
        <v/>
      </c>
      <c r="K20" s="2">
        <f>J20*G20</f>
        <v/>
      </c>
      <c r="L20" s="2">
        <f>IF(H20="F",0,G20)</f>
        <v/>
      </c>
    </row>
    <row r="21">
      <c r="A21" s="2" t="inlineStr">
        <is>
          <t>m240101</t>
        </is>
      </c>
      <c r="B21" s="2">
        <f>IFERROR(VLOOKUP(A21,Students!$A:$B,2,FALSE),"")</f>
        <v/>
      </c>
      <c r="C21" s="2" t="inlineStr">
        <is>
          <t>Spring 2026</t>
        </is>
      </c>
      <c r="D21" s="2" t="inlineStr">
        <is>
          <t>Semester 4</t>
        </is>
      </c>
      <c r="E21" s="2" t="inlineStr">
        <is>
          <t>TGM 699</t>
        </is>
      </c>
      <c r="F21" s="2">
        <f>IFERROR(VLOOKUP(E21,Courses!$A:$C,2,FALSE),"")</f>
        <v/>
      </c>
      <c r="G21" s="2">
        <f>IFERROR(VLOOKUP(E21,Courses!$A:$C,3,FALSE),0)</f>
        <v/>
      </c>
      <c r="H21" s="2" t="inlineStr">
        <is>
          <t>A</t>
        </is>
      </c>
      <c r="I21" s="2" t="n">
        <v>93</v>
      </c>
      <c r="J21" s="2">
        <f>IFERROR(VLOOKUP(H21,'Grade Scale'!$A:$B,2,FALSE),0)</f>
        <v/>
      </c>
      <c r="K21" s="2">
        <f>J21*G21</f>
        <v/>
      </c>
      <c r="L21" s="2">
        <f>IF(H21="F",0,G21)</f>
        <v/>
      </c>
    </row>
    <row r="22">
      <c r="A22" s="2" t="inlineStr">
        <is>
          <t>m240102</t>
        </is>
      </c>
      <c r="B22" s="2">
        <f>IFERROR(VLOOKUP(A22,Students!$A:$B,2,FALSE),"")</f>
        <v/>
      </c>
      <c r="C22" s="2" t="inlineStr">
        <is>
          <t>Fall 2024</t>
        </is>
      </c>
      <c r="D22" s="2" t="inlineStr">
        <is>
          <t>Semester 1</t>
        </is>
      </c>
      <c r="E22" s="2" t="inlineStr">
        <is>
          <t>TAM 530</t>
        </is>
      </c>
      <c r="F22" s="2">
        <f>IFERROR(VLOOKUP(E22,Courses!$A:$C,2,FALSE),"")</f>
        <v/>
      </c>
      <c r="G22" s="2">
        <f>IFERROR(VLOOKUP(E22,Courses!$A:$C,3,FALSE),0)</f>
        <v/>
      </c>
      <c r="H22" s="2" t="inlineStr">
        <is>
          <t>C+</t>
        </is>
      </c>
      <c r="I22" s="2" t="n">
        <v>77</v>
      </c>
      <c r="J22" s="2">
        <f>IFERROR(VLOOKUP(H22,'Grade Scale'!$A:$B,2,FALSE),0)</f>
        <v/>
      </c>
      <c r="K22" s="2">
        <f>J22*G22</f>
        <v/>
      </c>
      <c r="L22" s="2">
        <f>IF(H22="F",0,G22)</f>
        <v/>
      </c>
    </row>
    <row r="23">
      <c r="A23" s="2" t="inlineStr">
        <is>
          <t>m240102</t>
        </is>
      </c>
      <c r="B23" s="2">
        <f>IFERROR(VLOOKUP(A23,Students!$A:$B,2,FALSE),"")</f>
        <v/>
      </c>
      <c r="C23" s="2" t="inlineStr">
        <is>
          <t>Fall 2024</t>
        </is>
      </c>
      <c r="D23" s="2" t="inlineStr">
        <is>
          <t>Semester 1</t>
        </is>
      </c>
      <c r="E23" s="2" t="inlineStr">
        <is>
          <t>TGM 586</t>
        </is>
      </c>
      <c r="F23" s="2">
        <f>IFERROR(VLOOKUP(E23,Courses!$A:$C,2,FALSE),"")</f>
        <v/>
      </c>
      <c r="G23" s="2">
        <f>IFERROR(VLOOKUP(E23,Courses!$A:$C,3,FALSE),0)</f>
        <v/>
      </c>
      <c r="H23" s="2" t="inlineStr">
        <is>
          <t>C</t>
        </is>
      </c>
      <c r="I23" s="2" t="n">
        <v>73</v>
      </c>
      <c r="J23" s="2">
        <f>IFERROR(VLOOKUP(H23,'Grade Scale'!$A:$B,2,FALSE),0)</f>
        <v/>
      </c>
      <c r="K23" s="2">
        <f>J23*G23</f>
        <v/>
      </c>
      <c r="L23" s="2">
        <f>IF(H23="F",0,G23)</f>
        <v/>
      </c>
    </row>
    <row r="24">
      <c r="A24" s="2" t="inlineStr">
        <is>
          <t>m240102</t>
        </is>
      </c>
      <c r="B24" s="2">
        <f>IFERROR(VLOOKUP(A24,Students!$A:$B,2,FALSE),"")</f>
        <v/>
      </c>
      <c r="C24" s="2" t="inlineStr">
        <is>
          <t>Fall 2024</t>
        </is>
      </c>
      <c r="D24" s="2" t="inlineStr">
        <is>
          <t>Semester 1</t>
        </is>
      </c>
      <c r="E24" s="2" t="inlineStr">
        <is>
          <t>TAM 557</t>
        </is>
      </c>
      <c r="F24" s="2">
        <f>IFERROR(VLOOKUP(E24,Courses!$A:$C,2,FALSE),"")</f>
        <v/>
      </c>
      <c r="G24" s="2">
        <f>IFERROR(VLOOKUP(E24,Courses!$A:$C,3,FALSE),0)</f>
        <v/>
      </c>
      <c r="H24" s="2" t="inlineStr">
        <is>
          <t>B-</t>
        </is>
      </c>
      <c r="I24" s="2" t="n">
        <v>82</v>
      </c>
      <c r="J24" s="2">
        <f>IFERROR(VLOOKUP(H24,'Grade Scale'!$A:$B,2,FALSE),0)</f>
        <v/>
      </c>
      <c r="K24" s="2">
        <f>J24*G24</f>
        <v/>
      </c>
      <c r="L24" s="2">
        <f>IF(H24="F",0,G24)</f>
        <v/>
      </c>
    </row>
    <row r="25">
      <c r="A25" s="2" t="inlineStr">
        <is>
          <t>m240102</t>
        </is>
      </c>
      <c r="B25" s="2">
        <f>IFERROR(VLOOKUP(A25,Students!$A:$B,2,FALSE),"")</f>
        <v/>
      </c>
      <c r="C25" s="2" t="inlineStr">
        <is>
          <t>Fall 2024</t>
        </is>
      </c>
      <c r="D25" s="2" t="inlineStr">
        <is>
          <t>Semester 1</t>
        </is>
      </c>
      <c r="E25" s="2" t="inlineStr">
        <is>
          <t>TAM 542</t>
        </is>
      </c>
      <c r="F25" s="2">
        <f>IFERROR(VLOOKUP(E25,Courses!$A:$C,2,FALSE),"")</f>
        <v/>
      </c>
      <c r="G25" s="2">
        <f>IFERROR(VLOOKUP(E25,Courses!$A:$C,3,FALSE),0)</f>
        <v/>
      </c>
      <c r="H25" s="2" t="inlineStr">
        <is>
          <t>B</t>
        </is>
      </c>
      <c r="I25" s="2" t="n">
        <v>85</v>
      </c>
      <c r="J25" s="2">
        <f>IFERROR(VLOOKUP(H25,'Grade Scale'!$A:$B,2,FALSE),0)</f>
        <v/>
      </c>
      <c r="K25" s="2">
        <f>J25*G25</f>
        <v/>
      </c>
      <c r="L25" s="2">
        <f>IF(H25="F",0,G25)</f>
        <v/>
      </c>
    </row>
    <row r="26">
      <c r="A26" s="2" t="inlineStr">
        <is>
          <t>m240102</t>
        </is>
      </c>
      <c r="B26" s="2">
        <f>IFERROR(VLOOKUP(A26,Students!$A:$B,2,FALSE),"")</f>
        <v/>
      </c>
      <c r="C26" s="2" t="inlineStr">
        <is>
          <t>Fall 2024</t>
        </is>
      </c>
      <c r="D26" s="2" t="inlineStr">
        <is>
          <t>Semester 1</t>
        </is>
      </c>
      <c r="E26" s="2" t="inlineStr">
        <is>
          <t>TAM 511</t>
        </is>
      </c>
      <c r="F26" s="2">
        <f>IFERROR(VLOOKUP(E26,Courses!$A:$C,2,FALSE),"")</f>
        <v/>
      </c>
      <c r="G26" s="2">
        <f>IFERROR(VLOOKUP(E26,Courses!$A:$C,3,FALSE),0)</f>
        <v/>
      </c>
      <c r="H26" s="2" t="inlineStr">
        <is>
          <t>A</t>
        </is>
      </c>
      <c r="I26" s="2" t="n">
        <v>95</v>
      </c>
      <c r="J26" s="2">
        <f>IFERROR(VLOOKUP(H26,'Grade Scale'!$A:$B,2,FALSE),0)</f>
        <v/>
      </c>
      <c r="K26" s="2">
        <f>J26*G26</f>
        <v/>
      </c>
      <c r="L26" s="2">
        <f>IF(H26="F",0,G26)</f>
        <v/>
      </c>
    </row>
    <row r="27">
      <c r="A27" s="2" t="inlineStr">
        <is>
          <t>m240102</t>
        </is>
      </c>
      <c r="B27" s="2">
        <f>IFERROR(VLOOKUP(A27,Students!$A:$B,2,FALSE),"")</f>
        <v/>
      </c>
      <c r="C27" s="2" t="inlineStr">
        <is>
          <t>Spring 2025</t>
        </is>
      </c>
      <c r="D27" s="2" t="inlineStr">
        <is>
          <t>Semester 2</t>
        </is>
      </c>
      <c r="E27" s="2" t="inlineStr">
        <is>
          <t>IAL 503</t>
        </is>
      </c>
      <c r="F27" s="2">
        <f>IFERROR(VLOOKUP(E27,Courses!$A:$C,2,FALSE),"")</f>
        <v/>
      </c>
      <c r="G27" s="2">
        <f>IFERROR(VLOOKUP(E27,Courses!$A:$C,3,FALSE),0)</f>
        <v/>
      </c>
      <c r="H27" s="2" t="inlineStr">
        <is>
          <t>C+</t>
        </is>
      </c>
      <c r="I27" s="2" t="n">
        <v>79</v>
      </c>
      <c r="J27" s="2">
        <f>IFERROR(VLOOKUP(H27,'Grade Scale'!$A:$B,2,FALSE),0)</f>
        <v/>
      </c>
      <c r="K27" s="2">
        <f>J27*G27</f>
        <v/>
      </c>
      <c r="L27" s="2">
        <f>IF(H27="F",0,G27)</f>
        <v/>
      </c>
    </row>
    <row r="28">
      <c r="A28" s="2" t="inlineStr">
        <is>
          <t>m240102</t>
        </is>
      </c>
      <c r="B28" s="2">
        <f>IFERROR(VLOOKUP(A28,Students!$A:$B,2,FALSE),"")</f>
        <v/>
      </c>
      <c r="C28" s="2" t="inlineStr">
        <is>
          <t>Spring 2025</t>
        </is>
      </c>
      <c r="D28" s="2" t="inlineStr">
        <is>
          <t>Semester 2</t>
        </is>
      </c>
      <c r="E28" s="2" t="inlineStr">
        <is>
          <t>FIN 560</t>
        </is>
      </c>
      <c r="F28" s="2">
        <f>IFERROR(VLOOKUP(E28,Courses!$A:$C,2,FALSE),"")</f>
        <v/>
      </c>
      <c r="G28" s="2">
        <f>IFERROR(VLOOKUP(E28,Courses!$A:$C,3,FALSE),0)</f>
        <v/>
      </c>
      <c r="H28" s="2" t="inlineStr">
        <is>
          <t>B+</t>
        </is>
      </c>
      <c r="I28" s="2" t="n">
        <v>89</v>
      </c>
      <c r="J28" s="2">
        <f>IFERROR(VLOOKUP(H28,'Grade Scale'!$A:$B,2,FALSE),0)</f>
        <v/>
      </c>
      <c r="K28" s="2">
        <f>J28*G28</f>
        <v/>
      </c>
      <c r="L28" s="2">
        <f>IF(H28="F",0,G28)</f>
        <v/>
      </c>
    </row>
    <row r="29">
      <c r="A29" s="2" t="inlineStr">
        <is>
          <t>m240102</t>
        </is>
      </c>
      <c r="B29" s="2">
        <f>IFERROR(VLOOKUP(A29,Students!$A:$B,2,FALSE),"")</f>
        <v/>
      </c>
      <c r="C29" s="2" t="inlineStr">
        <is>
          <t>Spring 2025</t>
        </is>
      </c>
      <c r="D29" s="2" t="inlineStr">
        <is>
          <t>Semester 2</t>
        </is>
      </c>
      <c r="E29" s="2" t="inlineStr">
        <is>
          <t>TGM 551</t>
        </is>
      </c>
      <c r="F29" s="2">
        <f>IFERROR(VLOOKUP(E29,Courses!$A:$C,2,FALSE),"")</f>
        <v/>
      </c>
      <c r="G29" s="2">
        <f>IFERROR(VLOOKUP(E29,Courses!$A:$C,3,FALSE),0)</f>
        <v/>
      </c>
      <c r="H29" s="2" t="inlineStr">
        <is>
          <t>F</t>
        </is>
      </c>
      <c r="I29" s="2" t="n">
        <v>58</v>
      </c>
      <c r="J29" s="2">
        <f>IFERROR(VLOOKUP(H29,'Grade Scale'!$A:$B,2,FALSE),0)</f>
        <v/>
      </c>
      <c r="K29" s="2">
        <f>J29*G29</f>
        <v/>
      </c>
      <c r="L29" s="2">
        <f>IF(H29="F",0,G29)</f>
        <v/>
      </c>
    </row>
    <row r="30">
      <c r="A30" s="2" t="inlineStr">
        <is>
          <t>m240102</t>
        </is>
      </c>
      <c r="B30" s="2">
        <f>IFERROR(VLOOKUP(A30,Students!$A:$B,2,FALSE),"")</f>
        <v/>
      </c>
      <c r="C30" s="2" t="inlineStr">
        <is>
          <t>Spring 2025</t>
        </is>
      </c>
      <c r="D30" s="2" t="inlineStr">
        <is>
          <t>Semester 2</t>
        </is>
      </c>
      <c r="E30" s="2" t="inlineStr">
        <is>
          <t>TAM 505</t>
        </is>
      </c>
      <c r="F30" s="2">
        <f>IFERROR(VLOOKUP(E30,Courses!$A:$C,2,FALSE),"")</f>
        <v/>
      </c>
      <c r="G30" s="2">
        <f>IFERROR(VLOOKUP(E30,Courses!$A:$C,3,FALSE),0)</f>
        <v/>
      </c>
      <c r="H30" s="2" t="inlineStr">
        <is>
          <t>C+</t>
        </is>
      </c>
      <c r="I30" s="2" t="n">
        <v>79</v>
      </c>
      <c r="J30" s="2">
        <f>IFERROR(VLOOKUP(H30,'Grade Scale'!$A:$B,2,FALSE),0)</f>
        <v/>
      </c>
      <c r="K30" s="2">
        <f>J30*G30</f>
        <v/>
      </c>
      <c r="L30" s="2">
        <f>IF(H30="F",0,G30)</f>
        <v/>
      </c>
    </row>
    <row r="31">
      <c r="A31" s="2" t="inlineStr">
        <is>
          <t>m240102</t>
        </is>
      </c>
      <c r="B31" s="2">
        <f>IFERROR(VLOOKUP(A31,Students!$A:$B,2,FALSE),"")</f>
        <v/>
      </c>
      <c r="C31" s="2" t="inlineStr">
        <is>
          <t>Spring 2025</t>
        </is>
      </c>
      <c r="D31" s="2" t="inlineStr">
        <is>
          <t>Semester 2</t>
        </is>
      </c>
      <c r="E31" s="2" t="inlineStr">
        <is>
          <t>TGM 507</t>
        </is>
      </c>
      <c r="F31" s="2">
        <f>IFERROR(VLOOKUP(E31,Courses!$A:$C,2,FALSE),"")</f>
        <v/>
      </c>
      <c r="G31" s="2">
        <f>IFERROR(VLOOKUP(E31,Courses!$A:$C,3,FALSE),0)</f>
        <v/>
      </c>
      <c r="H31" s="2" t="inlineStr">
        <is>
          <t>B-</t>
        </is>
      </c>
      <c r="I31" s="2" t="n">
        <v>81</v>
      </c>
      <c r="J31" s="2">
        <f>IFERROR(VLOOKUP(H31,'Grade Scale'!$A:$B,2,FALSE),0)</f>
        <v/>
      </c>
      <c r="K31" s="2">
        <f>J31*G31</f>
        <v/>
      </c>
      <c r="L31" s="2">
        <f>IF(H31="F",0,G31)</f>
        <v/>
      </c>
    </row>
    <row r="32">
      <c r="A32" s="2" t="inlineStr">
        <is>
          <t>m240102</t>
        </is>
      </c>
      <c r="B32" s="2">
        <f>IFERROR(VLOOKUP(A32,Students!$A:$B,2,FALSE),"")</f>
        <v/>
      </c>
      <c r="C32" s="2" t="inlineStr">
        <is>
          <t>Fall 2025</t>
        </is>
      </c>
      <c r="D32" s="2" t="inlineStr">
        <is>
          <t>Semester 3</t>
        </is>
      </c>
      <c r="E32" s="2" t="inlineStr">
        <is>
          <t>TGM 610</t>
        </is>
      </c>
      <c r="F32" s="2">
        <f>IFERROR(VLOOKUP(E32,Courses!$A:$C,2,FALSE),"")</f>
        <v/>
      </c>
      <c r="G32" s="2">
        <f>IFERROR(VLOOKUP(E32,Courses!$A:$C,3,FALSE),0)</f>
        <v/>
      </c>
      <c r="H32" s="2" t="inlineStr">
        <is>
          <t>C+</t>
        </is>
      </c>
      <c r="I32" s="2" t="n">
        <v>77</v>
      </c>
      <c r="J32" s="2">
        <f>IFERROR(VLOOKUP(H32,'Grade Scale'!$A:$B,2,FALSE),0)</f>
        <v/>
      </c>
      <c r="K32" s="2">
        <f>J32*G32</f>
        <v/>
      </c>
      <c r="L32" s="2">
        <f>IF(H32="F",0,G32)</f>
        <v/>
      </c>
    </row>
    <row r="33">
      <c r="A33" s="2" t="inlineStr">
        <is>
          <t>m240102</t>
        </is>
      </c>
      <c r="B33" s="2">
        <f>IFERROR(VLOOKUP(A33,Students!$A:$B,2,FALSE),"")</f>
        <v/>
      </c>
      <c r="C33" s="2" t="inlineStr">
        <is>
          <t>Fall 2025</t>
        </is>
      </c>
      <c r="D33" s="2" t="inlineStr">
        <is>
          <t>Semester 3</t>
        </is>
      </c>
      <c r="E33" s="2" t="inlineStr">
        <is>
          <t>TGM 622</t>
        </is>
      </c>
      <c r="F33" s="2">
        <f>IFERROR(VLOOKUP(E33,Courses!$A:$C,2,FALSE),"")</f>
        <v/>
      </c>
      <c r="G33" s="2">
        <f>IFERROR(VLOOKUP(E33,Courses!$A:$C,3,FALSE),0)</f>
        <v/>
      </c>
      <c r="H33" s="2" t="inlineStr">
        <is>
          <t>B+</t>
        </is>
      </c>
      <c r="I33" s="2" t="n">
        <v>87</v>
      </c>
      <c r="J33" s="2">
        <f>IFERROR(VLOOKUP(H33,'Grade Scale'!$A:$B,2,FALSE),0)</f>
        <v/>
      </c>
      <c r="K33" s="2">
        <f>J33*G33</f>
        <v/>
      </c>
      <c r="L33" s="2">
        <f>IF(H33="F",0,G33)</f>
        <v/>
      </c>
    </row>
    <row r="34">
      <c r="A34" s="2" t="inlineStr">
        <is>
          <t>m240102</t>
        </is>
      </c>
      <c r="B34" s="2">
        <f>IFERROR(VLOOKUP(A34,Students!$A:$B,2,FALSE),"")</f>
        <v/>
      </c>
      <c r="C34" s="2" t="inlineStr">
        <is>
          <t>Fall 2025</t>
        </is>
      </c>
      <c r="D34" s="2" t="inlineStr">
        <is>
          <t>Semester 3</t>
        </is>
      </c>
      <c r="E34" s="2" t="inlineStr">
        <is>
          <t>TAM 615</t>
        </is>
      </c>
      <c r="F34" s="2">
        <f>IFERROR(VLOOKUP(E34,Courses!$A:$C,2,FALSE),"")</f>
        <v/>
      </c>
      <c r="G34" s="2">
        <f>IFERROR(VLOOKUP(E34,Courses!$A:$C,3,FALSE),0)</f>
        <v/>
      </c>
      <c r="H34" s="2" t="inlineStr">
        <is>
          <t>C+</t>
        </is>
      </c>
      <c r="I34" s="2" t="n">
        <v>79</v>
      </c>
      <c r="J34" s="2">
        <f>IFERROR(VLOOKUP(H34,'Grade Scale'!$A:$B,2,FALSE),0)</f>
        <v/>
      </c>
      <c r="K34" s="2">
        <f>J34*G34</f>
        <v/>
      </c>
      <c r="L34" s="2">
        <f>IF(H34="F",0,G34)</f>
        <v/>
      </c>
    </row>
    <row r="35">
      <c r="A35" s="2" t="inlineStr">
        <is>
          <t>m240102</t>
        </is>
      </c>
      <c r="B35" s="2">
        <f>IFERROR(VLOOKUP(A35,Students!$A:$B,2,FALSE),"")</f>
        <v/>
      </c>
      <c r="C35" s="2" t="inlineStr">
        <is>
          <t>Fall 2025</t>
        </is>
      </c>
      <c r="D35" s="2" t="inlineStr">
        <is>
          <t>Semester 3</t>
        </is>
      </c>
      <c r="E35" s="2" t="inlineStr">
        <is>
          <t>TGM 630</t>
        </is>
      </c>
      <c r="F35" s="2">
        <f>IFERROR(VLOOKUP(E35,Courses!$A:$C,2,FALSE),"")</f>
        <v/>
      </c>
      <c r="G35" s="2">
        <f>IFERROR(VLOOKUP(E35,Courses!$A:$C,3,FALSE),0)</f>
        <v/>
      </c>
      <c r="H35" s="2" t="inlineStr">
        <is>
          <t>B+</t>
        </is>
      </c>
      <c r="I35" s="2" t="n">
        <v>87</v>
      </c>
      <c r="J35" s="2">
        <f>IFERROR(VLOOKUP(H35,'Grade Scale'!$A:$B,2,FALSE),0)</f>
        <v/>
      </c>
      <c r="K35" s="2">
        <f>J35*G35</f>
        <v/>
      </c>
      <c r="L35" s="2">
        <f>IF(H35="F",0,G35)</f>
        <v/>
      </c>
    </row>
    <row r="36">
      <c r="A36" s="2" t="inlineStr">
        <is>
          <t>m240102</t>
        </is>
      </c>
      <c r="B36" s="2">
        <f>IFERROR(VLOOKUP(A36,Students!$A:$B,2,FALSE),"")</f>
        <v/>
      </c>
      <c r="C36" s="2" t="inlineStr">
        <is>
          <t>Fall 2025</t>
        </is>
      </c>
      <c r="D36" s="2" t="inlineStr">
        <is>
          <t>Semester 3</t>
        </is>
      </c>
      <c r="E36" s="2" t="inlineStr">
        <is>
          <t>TGM 690</t>
        </is>
      </c>
      <c r="F36" s="2">
        <f>IFERROR(VLOOKUP(E36,Courses!$A:$C,2,FALSE),"")</f>
        <v/>
      </c>
      <c r="G36" s="2">
        <f>IFERROR(VLOOKUP(E36,Courses!$A:$C,3,FALSE),0)</f>
        <v/>
      </c>
      <c r="H36" s="2" t="inlineStr">
        <is>
          <t>B+</t>
        </is>
      </c>
      <c r="I36" s="2" t="n">
        <v>88</v>
      </c>
      <c r="J36" s="2">
        <f>IFERROR(VLOOKUP(H36,'Grade Scale'!$A:$B,2,FALSE),0)</f>
        <v/>
      </c>
      <c r="K36" s="2">
        <f>J36*G36</f>
        <v/>
      </c>
      <c r="L36" s="2">
        <f>IF(H36="F",0,G36)</f>
        <v/>
      </c>
    </row>
    <row r="37">
      <c r="A37" s="2" t="inlineStr">
        <is>
          <t>m240102</t>
        </is>
      </c>
      <c r="B37" s="2">
        <f>IFERROR(VLOOKUP(A37,Students!$A:$B,2,FALSE),"")</f>
        <v/>
      </c>
      <c r="C37" s="2" t="inlineStr">
        <is>
          <t>Spring 2026</t>
        </is>
      </c>
      <c r="D37" s="2" t="inlineStr">
        <is>
          <t>Semester 4</t>
        </is>
      </c>
      <c r="E37" s="2" t="inlineStr">
        <is>
          <t>TGM 640</t>
        </is>
      </c>
      <c r="F37" s="2">
        <f>IFERROR(VLOOKUP(E37,Courses!$A:$C,2,FALSE),"")</f>
        <v/>
      </c>
      <c r="G37" s="2">
        <f>IFERROR(VLOOKUP(E37,Courses!$A:$C,3,FALSE),0)</f>
        <v/>
      </c>
      <c r="H37" s="2" t="inlineStr">
        <is>
          <t>C</t>
        </is>
      </c>
      <c r="I37" s="2" t="n">
        <v>74</v>
      </c>
      <c r="J37" s="2">
        <f>IFERROR(VLOOKUP(H37,'Grade Scale'!$A:$B,2,FALSE),0)</f>
        <v/>
      </c>
      <c r="K37" s="2">
        <f>J37*G37</f>
        <v/>
      </c>
      <c r="L37" s="2">
        <f>IF(H37="F",0,G37)</f>
        <v/>
      </c>
    </row>
    <row r="38">
      <c r="A38" s="2" t="inlineStr">
        <is>
          <t>m240102</t>
        </is>
      </c>
      <c r="B38" s="2">
        <f>IFERROR(VLOOKUP(A38,Students!$A:$B,2,FALSE),"")</f>
        <v/>
      </c>
      <c r="C38" s="2" t="inlineStr">
        <is>
          <t>Spring 2026</t>
        </is>
      </c>
      <c r="D38" s="2" t="inlineStr">
        <is>
          <t>Semester 4</t>
        </is>
      </c>
      <c r="E38" s="2" t="inlineStr">
        <is>
          <t>TGM 650</t>
        </is>
      </c>
      <c r="F38" s="2">
        <f>IFERROR(VLOOKUP(E38,Courses!$A:$C,2,FALSE),"")</f>
        <v/>
      </c>
      <c r="G38" s="2">
        <f>IFERROR(VLOOKUP(E38,Courses!$A:$C,3,FALSE),0)</f>
        <v/>
      </c>
      <c r="H38" s="2" t="inlineStr">
        <is>
          <t>B-</t>
        </is>
      </c>
      <c r="I38" s="2" t="n">
        <v>80</v>
      </c>
      <c r="J38" s="2">
        <f>IFERROR(VLOOKUP(H38,'Grade Scale'!$A:$B,2,FALSE),0)</f>
        <v/>
      </c>
      <c r="K38" s="2">
        <f>J38*G38</f>
        <v/>
      </c>
      <c r="L38" s="2">
        <f>IF(H38="F",0,G38)</f>
        <v/>
      </c>
    </row>
    <row r="39">
      <c r="A39" s="2" t="inlineStr">
        <is>
          <t>m240102</t>
        </is>
      </c>
      <c r="B39" s="2">
        <f>IFERROR(VLOOKUP(A39,Students!$A:$B,2,FALSE),"")</f>
        <v/>
      </c>
      <c r="C39" s="2" t="inlineStr">
        <is>
          <t>Spring 2026</t>
        </is>
      </c>
      <c r="D39" s="2" t="inlineStr">
        <is>
          <t>Semester 4</t>
        </is>
      </c>
      <c r="E39" s="2" t="inlineStr">
        <is>
          <t>TGM 660</t>
        </is>
      </c>
      <c r="F39" s="2">
        <f>IFERROR(VLOOKUP(E39,Courses!$A:$C,2,FALSE),"")</f>
        <v/>
      </c>
      <c r="G39" s="2">
        <f>IFERROR(VLOOKUP(E39,Courses!$A:$C,3,FALSE),0)</f>
        <v/>
      </c>
      <c r="H39" s="2" t="inlineStr">
        <is>
          <t>B-</t>
        </is>
      </c>
      <c r="I39" s="2" t="n">
        <v>80</v>
      </c>
      <c r="J39" s="2">
        <f>IFERROR(VLOOKUP(H39,'Grade Scale'!$A:$B,2,FALSE),0)</f>
        <v/>
      </c>
      <c r="K39" s="2">
        <f>J39*G39</f>
        <v/>
      </c>
      <c r="L39" s="2">
        <f>IF(H39="F",0,G39)</f>
        <v/>
      </c>
    </row>
    <row r="40">
      <c r="A40" s="2" t="inlineStr">
        <is>
          <t>m240102</t>
        </is>
      </c>
      <c r="B40" s="2">
        <f>IFERROR(VLOOKUP(A40,Students!$A:$B,2,FALSE),"")</f>
        <v/>
      </c>
      <c r="C40" s="2" t="inlineStr">
        <is>
          <t>Spring 2026</t>
        </is>
      </c>
      <c r="D40" s="2" t="inlineStr">
        <is>
          <t>Semester 4</t>
        </is>
      </c>
      <c r="E40" s="2" t="inlineStr">
        <is>
          <t>TGM 670</t>
        </is>
      </c>
      <c r="F40" s="2">
        <f>IFERROR(VLOOKUP(E40,Courses!$A:$C,2,FALSE),"")</f>
        <v/>
      </c>
      <c r="G40" s="2">
        <f>IFERROR(VLOOKUP(E40,Courses!$A:$C,3,FALSE),0)</f>
        <v/>
      </c>
      <c r="H40" s="2" t="inlineStr">
        <is>
          <t>B-</t>
        </is>
      </c>
      <c r="I40" s="2" t="n">
        <v>80</v>
      </c>
      <c r="J40" s="2">
        <f>IFERROR(VLOOKUP(H40,'Grade Scale'!$A:$B,2,FALSE),0)</f>
        <v/>
      </c>
      <c r="K40" s="2">
        <f>J40*G40</f>
        <v/>
      </c>
      <c r="L40" s="2">
        <f>IF(H40="F",0,G40)</f>
        <v/>
      </c>
    </row>
    <row r="41">
      <c r="A41" s="2" t="inlineStr">
        <is>
          <t>m240102</t>
        </is>
      </c>
      <c r="B41" s="2">
        <f>IFERROR(VLOOKUP(A41,Students!$A:$B,2,FALSE),"")</f>
        <v/>
      </c>
      <c r="C41" s="2" t="inlineStr">
        <is>
          <t>Spring 2026</t>
        </is>
      </c>
      <c r="D41" s="2" t="inlineStr">
        <is>
          <t>Semester 4</t>
        </is>
      </c>
      <c r="E41" s="2" t="inlineStr">
        <is>
          <t>TGM 699</t>
        </is>
      </c>
      <c r="F41" s="2">
        <f>IFERROR(VLOOKUP(E41,Courses!$A:$C,2,FALSE),"")</f>
        <v/>
      </c>
      <c r="G41" s="2">
        <f>IFERROR(VLOOKUP(E41,Courses!$A:$C,3,FALSE),0)</f>
        <v/>
      </c>
      <c r="H41" s="2" t="inlineStr">
        <is>
          <t>C</t>
        </is>
      </c>
      <c r="I41" s="2" t="n">
        <v>75</v>
      </c>
      <c r="J41" s="2">
        <f>IFERROR(VLOOKUP(H41,'Grade Scale'!$A:$B,2,FALSE),0)</f>
        <v/>
      </c>
      <c r="K41" s="2">
        <f>J41*G41</f>
        <v/>
      </c>
      <c r="L41" s="2">
        <f>IF(H41="F",0,G41)</f>
        <v/>
      </c>
    </row>
    <row r="42">
      <c r="A42" s="2" t="inlineStr">
        <is>
          <t>m240103</t>
        </is>
      </c>
      <c r="B42" s="2">
        <f>IFERROR(VLOOKUP(A42,Students!$A:$B,2,FALSE),"")</f>
        <v/>
      </c>
      <c r="C42" s="2" t="inlineStr">
        <is>
          <t>Fall 2024</t>
        </is>
      </c>
      <c r="D42" s="2" t="inlineStr">
        <is>
          <t>Semester 1</t>
        </is>
      </c>
      <c r="E42" s="2" t="inlineStr">
        <is>
          <t>MBA 501</t>
        </is>
      </c>
      <c r="F42" s="2">
        <f>IFERROR(VLOOKUP(E42,Courses!$A:$C,2,FALSE),"")</f>
        <v/>
      </c>
      <c r="G42" s="2">
        <f>IFERROR(VLOOKUP(E42,Courses!$A:$C,3,FALSE),0)</f>
        <v/>
      </c>
      <c r="H42" s="2" t="inlineStr">
        <is>
          <t>B+</t>
        </is>
      </c>
      <c r="I42" s="2" t="n">
        <v>87</v>
      </c>
      <c r="J42" s="2">
        <f>IFERROR(VLOOKUP(H42,'Grade Scale'!$A:$B,2,FALSE),0)</f>
        <v/>
      </c>
      <c r="K42" s="2">
        <f>J42*G42</f>
        <v/>
      </c>
      <c r="L42" s="2">
        <f>IF(H42="F",0,G42)</f>
        <v/>
      </c>
    </row>
    <row r="43">
      <c r="A43" s="2" t="inlineStr">
        <is>
          <t>m240103</t>
        </is>
      </c>
      <c r="B43" s="2">
        <f>IFERROR(VLOOKUP(A43,Students!$A:$B,2,FALSE),"")</f>
        <v/>
      </c>
      <c r="C43" s="2" t="inlineStr">
        <is>
          <t>Fall 2024</t>
        </is>
      </c>
      <c r="D43" s="2" t="inlineStr">
        <is>
          <t>Semester 1</t>
        </is>
      </c>
      <c r="E43" s="2" t="inlineStr">
        <is>
          <t>MBA 510</t>
        </is>
      </c>
      <c r="F43" s="2">
        <f>IFERROR(VLOOKUP(E43,Courses!$A:$C,2,FALSE),"")</f>
        <v/>
      </c>
      <c r="G43" s="2">
        <f>IFERROR(VLOOKUP(E43,Courses!$A:$C,3,FALSE),0)</f>
        <v/>
      </c>
      <c r="H43" s="2" t="inlineStr">
        <is>
          <t>A</t>
        </is>
      </c>
      <c r="I43" s="2" t="n">
        <v>95</v>
      </c>
      <c r="J43" s="2">
        <f>IFERROR(VLOOKUP(H43,'Grade Scale'!$A:$B,2,FALSE),0)</f>
        <v/>
      </c>
      <c r="K43" s="2">
        <f>J43*G43</f>
        <v/>
      </c>
      <c r="L43" s="2">
        <f>IF(H43="F",0,G43)</f>
        <v/>
      </c>
    </row>
    <row r="44">
      <c r="A44" s="2" t="inlineStr">
        <is>
          <t>m240103</t>
        </is>
      </c>
      <c r="B44" s="2">
        <f>IFERROR(VLOOKUP(A44,Students!$A:$B,2,FALSE),"")</f>
        <v/>
      </c>
      <c r="C44" s="2" t="inlineStr">
        <is>
          <t>Fall 2024</t>
        </is>
      </c>
      <c r="D44" s="2" t="inlineStr">
        <is>
          <t>Semester 1</t>
        </is>
      </c>
      <c r="E44" s="2" t="inlineStr">
        <is>
          <t>MBA 520</t>
        </is>
      </c>
      <c r="F44" s="2">
        <f>IFERROR(VLOOKUP(E44,Courses!$A:$C,2,FALSE),"")</f>
        <v/>
      </c>
      <c r="G44" s="2">
        <f>IFERROR(VLOOKUP(E44,Courses!$A:$C,3,FALSE),0)</f>
        <v/>
      </c>
      <c r="H44" s="2" t="inlineStr">
        <is>
          <t>B</t>
        </is>
      </c>
      <c r="I44" s="2" t="n">
        <v>86</v>
      </c>
      <c r="J44" s="2">
        <f>IFERROR(VLOOKUP(H44,'Grade Scale'!$A:$B,2,FALSE),0)</f>
        <v/>
      </c>
      <c r="K44" s="2">
        <f>J44*G44</f>
        <v/>
      </c>
      <c r="L44" s="2">
        <f>IF(H44="F",0,G44)</f>
        <v/>
      </c>
    </row>
    <row r="45">
      <c r="A45" s="2" t="inlineStr">
        <is>
          <t>m240103</t>
        </is>
      </c>
      <c r="B45" s="2">
        <f>IFERROR(VLOOKUP(A45,Students!$A:$B,2,FALSE),"")</f>
        <v/>
      </c>
      <c r="C45" s="2" t="inlineStr">
        <is>
          <t>Fall 2024</t>
        </is>
      </c>
      <c r="D45" s="2" t="inlineStr">
        <is>
          <t>Semester 1</t>
        </is>
      </c>
      <c r="E45" s="2" t="inlineStr">
        <is>
          <t>MBA 530</t>
        </is>
      </c>
      <c r="F45" s="2">
        <f>IFERROR(VLOOKUP(E45,Courses!$A:$C,2,FALSE),"")</f>
        <v/>
      </c>
      <c r="G45" s="2">
        <f>IFERROR(VLOOKUP(E45,Courses!$A:$C,3,FALSE),0)</f>
        <v/>
      </c>
      <c r="H45" s="2" t="inlineStr">
        <is>
          <t>B+</t>
        </is>
      </c>
      <c r="I45" s="2" t="n">
        <v>88</v>
      </c>
      <c r="J45" s="2">
        <f>IFERROR(VLOOKUP(H45,'Grade Scale'!$A:$B,2,FALSE),0)</f>
        <v/>
      </c>
      <c r="K45" s="2">
        <f>J45*G45</f>
        <v/>
      </c>
      <c r="L45" s="2">
        <f>IF(H45="F",0,G45)</f>
        <v/>
      </c>
    </row>
    <row r="46">
      <c r="A46" s="2" t="inlineStr">
        <is>
          <t>m240103</t>
        </is>
      </c>
      <c r="B46" s="2">
        <f>IFERROR(VLOOKUP(A46,Students!$A:$B,2,FALSE),"")</f>
        <v/>
      </c>
      <c r="C46" s="2" t="inlineStr">
        <is>
          <t>Fall 2024</t>
        </is>
      </c>
      <c r="D46" s="2" t="inlineStr">
        <is>
          <t>Semester 1</t>
        </is>
      </c>
      <c r="E46" s="2" t="inlineStr">
        <is>
          <t>MBA 540</t>
        </is>
      </c>
      <c r="F46" s="2">
        <f>IFERROR(VLOOKUP(E46,Courses!$A:$C,2,FALSE),"")</f>
        <v/>
      </c>
      <c r="G46" s="2">
        <f>IFERROR(VLOOKUP(E46,Courses!$A:$C,3,FALSE),0)</f>
        <v/>
      </c>
      <c r="H46" s="2" t="inlineStr">
        <is>
          <t>A</t>
        </is>
      </c>
      <c r="I46" s="2" t="n">
        <v>97</v>
      </c>
      <c r="J46" s="2">
        <f>IFERROR(VLOOKUP(H46,'Grade Scale'!$A:$B,2,FALSE),0)</f>
        <v/>
      </c>
      <c r="K46" s="2">
        <f>J46*G46</f>
        <v/>
      </c>
      <c r="L46" s="2">
        <f>IF(H46="F",0,G46)</f>
        <v/>
      </c>
    </row>
    <row r="47">
      <c r="A47" s="2" t="inlineStr">
        <is>
          <t>m240103</t>
        </is>
      </c>
      <c r="B47" s="2">
        <f>IFERROR(VLOOKUP(A47,Students!$A:$B,2,FALSE),"")</f>
        <v/>
      </c>
      <c r="C47" s="2" t="inlineStr">
        <is>
          <t>Spring 2025</t>
        </is>
      </c>
      <c r="D47" s="2" t="inlineStr">
        <is>
          <t>Semester 2</t>
        </is>
      </c>
      <c r="E47" s="2" t="inlineStr">
        <is>
          <t>MBA 550</t>
        </is>
      </c>
      <c r="F47" s="2">
        <f>IFERROR(VLOOKUP(E47,Courses!$A:$C,2,FALSE),"")</f>
        <v/>
      </c>
      <c r="G47" s="2">
        <f>IFERROR(VLOOKUP(E47,Courses!$A:$C,3,FALSE),0)</f>
        <v/>
      </c>
      <c r="H47" s="2" t="inlineStr">
        <is>
          <t>A</t>
        </is>
      </c>
      <c r="I47" s="2" t="n">
        <v>97</v>
      </c>
      <c r="J47" s="2">
        <f>IFERROR(VLOOKUP(H47,'Grade Scale'!$A:$B,2,FALSE),0)</f>
        <v/>
      </c>
      <c r="K47" s="2">
        <f>J47*G47</f>
        <v/>
      </c>
      <c r="L47" s="2">
        <f>IF(H47="F",0,G47)</f>
        <v/>
      </c>
    </row>
    <row r="48">
      <c r="A48" s="2" t="inlineStr">
        <is>
          <t>m240103</t>
        </is>
      </c>
      <c r="B48" s="2">
        <f>IFERROR(VLOOKUP(A48,Students!$A:$B,2,FALSE),"")</f>
        <v/>
      </c>
      <c r="C48" s="2" t="inlineStr">
        <is>
          <t>Spring 2025</t>
        </is>
      </c>
      <c r="D48" s="2" t="inlineStr">
        <is>
          <t>Semester 2</t>
        </is>
      </c>
      <c r="E48" s="2" t="inlineStr">
        <is>
          <t>MBA 560</t>
        </is>
      </c>
      <c r="F48" s="2">
        <f>IFERROR(VLOOKUP(E48,Courses!$A:$C,2,FALSE),"")</f>
        <v/>
      </c>
      <c r="G48" s="2">
        <f>IFERROR(VLOOKUP(E48,Courses!$A:$C,3,FALSE),0)</f>
        <v/>
      </c>
      <c r="H48" s="2" t="inlineStr">
        <is>
          <t>A-</t>
        </is>
      </c>
      <c r="I48" s="2" t="n">
        <v>92</v>
      </c>
      <c r="J48" s="2">
        <f>IFERROR(VLOOKUP(H48,'Grade Scale'!$A:$B,2,FALSE),0)</f>
        <v/>
      </c>
      <c r="K48" s="2">
        <f>J48*G48</f>
        <v/>
      </c>
      <c r="L48" s="2">
        <f>IF(H48="F",0,G48)</f>
        <v/>
      </c>
    </row>
    <row r="49">
      <c r="A49" s="2" t="inlineStr">
        <is>
          <t>m240103</t>
        </is>
      </c>
      <c r="B49" s="2">
        <f>IFERROR(VLOOKUP(A49,Students!$A:$B,2,FALSE),"")</f>
        <v/>
      </c>
      <c r="C49" s="2" t="inlineStr">
        <is>
          <t>Spring 2025</t>
        </is>
      </c>
      <c r="D49" s="2" t="inlineStr">
        <is>
          <t>Semester 2</t>
        </is>
      </c>
      <c r="E49" s="2" t="inlineStr">
        <is>
          <t>MBA 570</t>
        </is>
      </c>
      <c r="F49" s="2">
        <f>IFERROR(VLOOKUP(E49,Courses!$A:$C,2,FALSE),"")</f>
        <v/>
      </c>
      <c r="G49" s="2">
        <f>IFERROR(VLOOKUP(E49,Courses!$A:$C,3,FALSE),0)</f>
        <v/>
      </c>
      <c r="H49" s="2" t="inlineStr">
        <is>
          <t>B</t>
        </is>
      </c>
      <c r="I49" s="2" t="n">
        <v>84</v>
      </c>
      <c r="J49" s="2">
        <f>IFERROR(VLOOKUP(H49,'Grade Scale'!$A:$B,2,FALSE),0)</f>
        <v/>
      </c>
      <c r="K49" s="2">
        <f>J49*G49</f>
        <v/>
      </c>
      <c r="L49" s="2">
        <f>IF(H49="F",0,G49)</f>
        <v/>
      </c>
    </row>
    <row r="50">
      <c r="A50" s="2" t="inlineStr">
        <is>
          <t>m240103</t>
        </is>
      </c>
      <c r="B50" s="2">
        <f>IFERROR(VLOOKUP(A50,Students!$A:$B,2,FALSE),"")</f>
        <v/>
      </c>
      <c r="C50" s="2" t="inlineStr">
        <is>
          <t>Spring 2025</t>
        </is>
      </c>
      <c r="D50" s="2" t="inlineStr">
        <is>
          <t>Semester 2</t>
        </is>
      </c>
      <c r="E50" s="2" t="inlineStr">
        <is>
          <t>MBA 580</t>
        </is>
      </c>
      <c r="F50" s="2">
        <f>IFERROR(VLOOKUP(E50,Courses!$A:$C,2,FALSE),"")</f>
        <v/>
      </c>
      <c r="G50" s="2">
        <f>IFERROR(VLOOKUP(E50,Courses!$A:$C,3,FALSE),0)</f>
        <v/>
      </c>
      <c r="H50" s="2" t="inlineStr">
        <is>
          <t>C+</t>
        </is>
      </c>
      <c r="I50" s="2" t="n">
        <v>79</v>
      </c>
      <c r="J50" s="2">
        <f>IFERROR(VLOOKUP(H50,'Grade Scale'!$A:$B,2,FALSE),0)</f>
        <v/>
      </c>
      <c r="K50" s="2">
        <f>J50*G50</f>
        <v/>
      </c>
      <c r="L50" s="2">
        <f>IF(H50="F",0,G50)</f>
        <v/>
      </c>
    </row>
    <row r="51">
      <c r="A51" s="2" t="inlineStr">
        <is>
          <t>m240103</t>
        </is>
      </c>
      <c r="B51" s="2">
        <f>IFERROR(VLOOKUP(A51,Students!$A:$B,2,FALSE),"")</f>
        <v/>
      </c>
      <c r="C51" s="2" t="inlineStr">
        <is>
          <t>Spring 2025</t>
        </is>
      </c>
      <c r="D51" s="2" t="inlineStr">
        <is>
          <t>Semester 2</t>
        </is>
      </c>
      <c r="E51" s="2" t="inlineStr">
        <is>
          <t>MBA 590</t>
        </is>
      </c>
      <c r="F51" s="2">
        <f>IFERROR(VLOOKUP(E51,Courses!$A:$C,2,FALSE),"")</f>
        <v/>
      </c>
      <c r="G51" s="2">
        <f>IFERROR(VLOOKUP(E51,Courses!$A:$C,3,FALSE),0)</f>
        <v/>
      </c>
      <c r="H51" s="2" t="inlineStr">
        <is>
          <t>A</t>
        </is>
      </c>
      <c r="I51" s="2" t="n">
        <v>93</v>
      </c>
      <c r="J51" s="2">
        <f>IFERROR(VLOOKUP(H51,'Grade Scale'!$A:$B,2,FALSE),0)</f>
        <v/>
      </c>
      <c r="K51" s="2">
        <f>J51*G51</f>
        <v/>
      </c>
      <c r="L51" s="2">
        <f>IF(H51="F",0,G51)</f>
        <v/>
      </c>
    </row>
    <row r="52">
      <c r="A52" s="2" t="inlineStr">
        <is>
          <t>m240103</t>
        </is>
      </c>
      <c r="B52" s="2">
        <f>IFERROR(VLOOKUP(A52,Students!$A:$B,2,FALSE),"")</f>
        <v/>
      </c>
      <c r="C52" s="2" t="inlineStr">
        <is>
          <t>Fall 2025</t>
        </is>
      </c>
      <c r="D52" s="2" t="inlineStr">
        <is>
          <t>Semester 3</t>
        </is>
      </c>
      <c r="E52" s="2" t="inlineStr">
        <is>
          <t>MBA 610</t>
        </is>
      </c>
      <c r="F52" s="2">
        <f>IFERROR(VLOOKUP(E52,Courses!$A:$C,2,FALSE),"")</f>
        <v/>
      </c>
      <c r="G52" s="2">
        <f>IFERROR(VLOOKUP(E52,Courses!$A:$C,3,FALSE),0)</f>
        <v/>
      </c>
      <c r="H52" s="2" t="inlineStr">
        <is>
          <t>A-</t>
        </is>
      </c>
      <c r="I52" s="2" t="n">
        <v>92</v>
      </c>
      <c r="J52" s="2">
        <f>IFERROR(VLOOKUP(H52,'Grade Scale'!$A:$B,2,FALSE),0)</f>
        <v/>
      </c>
      <c r="K52" s="2">
        <f>J52*G52</f>
        <v/>
      </c>
      <c r="L52" s="2">
        <f>IF(H52="F",0,G52)</f>
        <v/>
      </c>
    </row>
    <row r="53">
      <c r="A53" s="2" t="inlineStr">
        <is>
          <t>m240103</t>
        </is>
      </c>
      <c r="B53" s="2">
        <f>IFERROR(VLOOKUP(A53,Students!$A:$B,2,FALSE),"")</f>
        <v/>
      </c>
      <c r="C53" s="2" t="inlineStr">
        <is>
          <t>Fall 2025</t>
        </is>
      </c>
      <c r="D53" s="2" t="inlineStr">
        <is>
          <t>Semester 3</t>
        </is>
      </c>
      <c r="E53" s="2" t="inlineStr">
        <is>
          <t>MBA 620</t>
        </is>
      </c>
      <c r="F53" s="2">
        <f>IFERROR(VLOOKUP(E53,Courses!$A:$C,2,FALSE),"")</f>
        <v/>
      </c>
      <c r="G53" s="2">
        <f>IFERROR(VLOOKUP(E53,Courses!$A:$C,3,FALSE),0)</f>
        <v/>
      </c>
      <c r="H53" s="2" t="inlineStr">
        <is>
          <t>A</t>
        </is>
      </c>
      <c r="I53" s="2" t="n">
        <v>98</v>
      </c>
      <c r="J53" s="2">
        <f>IFERROR(VLOOKUP(H53,'Grade Scale'!$A:$B,2,FALSE),0)</f>
        <v/>
      </c>
      <c r="K53" s="2">
        <f>J53*G53</f>
        <v/>
      </c>
      <c r="L53" s="2">
        <f>IF(H53="F",0,G53)</f>
        <v/>
      </c>
    </row>
    <row r="54">
      <c r="A54" s="2" t="inlineStr">
        <is>
          <t>m240103</t>
        </is>
      </c>
      <c r="B54" s="2">
        <f>IFERROR(VLOOKUP(A54,Students!$A:$B,2,FALSE),"")</f>
        <v/>
      </c>
      <c r="C54" s="2" t="inlineStr">
        <is>
          <t>Fall 2025</t>
        </is>
      </c>
      <c r="D54" s="2" t="inlineStr">
        <is>
          <t>Semester 3</t>
        </is>
      </c>
      <c r="E54" s="2" t="inlineStr">
        <is>
          <t>MBA 630</t>
        </is>
      </c>
      <c r="F54" s="2">
        <f>IFERROR(VLOOKUP(E54,Courses!$A:$C,2,FALSE),"")</f>
        <v/>
      </c>
      <c r="G54" s="2">
        <f>IFERROR(VLOOKUP(E54,Courses!$A:$C,3,FALSE),0)</f>
        <v/>
      </c>
      <c r="H54" s="2" t="inlineStr">
        <is>
          <t>A</t>
        </is>
      </c>
      <c r="I54" s="2" t="n">
        <v>98</v>
      </c>
      <c r="J54" s="2">
        <f>IFERROR(VLOOKUP(H54,'Grade Scale'!$A:$B,2,FALSE),0)</f>
        <v/>
      </c>
      <c r="K54" s="2">
        <f>J54*G54</f>
        <v/>
      </c>
      <c r="L54" s="2">
        <f>IF(H54="F",0,G54)</f>
        <v/>
      </c>
    </row>
    <row r="55">
      <c r="A55" s="2" t="inlineStr">
        <is>
          <t>m240103</t>
        </is>
      </c>
      <c r="B55" s="2">
        <f>IFERROR(VLOOKUP(A55,Students!$A:$B,2,FALSE),"")</f>
        <v/>
      </c>
      <c r="C55" s="2" t="inlineStr">
        <is>
          <t>Fall 2025</t>
        </is>
      </c>
      <c r="D55" s="2" t="inlineStr">
        <is>
          <t>Semester 3</t>
        </is>
      </c>
      <c r="E55" s="2" t="inlineStr">
        <is>
          <t>MBA 640</t>
        </is>
      </c>
      <c r="F55" s="2">
        <f>IFERROR(VLOOKUP(E55,Courses!$A:$C,2,FALSE),"")</f>
        <v/>
      </c>
      <c r="G55" s="2">
        <f>IFERROR(VLOOKUP(E55,Courses!$A:$C,3,FALSE),0)</f>
        <v/>
      </c>
      <c r="H55" s="2" t="inlineStr">
        <is>
          <t>B+</t>
        </is>
      </c>
      <c r="I55" s="2" t="n">
        <v>89</v>
      </c>
      <c r="J55" s="2">
        <f>IFERROR(VLOOKUP(H55,'Grade Scale'!$A:$B,2,FALSE),0)</f>
        <v/>
      </c>
      <c r="K55" s="2">
        <f>J55*G55</f>
        <v/>
      </c>
      <c r="L55" s="2">
        <f>IF(H55="F",0,G55)</f>
        <v/>
      </c>
    </row>
    <row r="56">
      <c r="A56" s="2" t="inlineStr">
        <is>
          <t>m240103</t>
        </is>
      </c>
      <c r="B56" s="2">
        <f>IFERROR(VLOOKUP(A56,Students!$A:$B,2,FALSE),"")</f>
        <v/>
      </c>
      <c r="C56" s="2" t="inlineStr">
        <is>
          <t>Fall 2025</t>
        </is>
      </c>
      <c r="D56" s="2" t="inlineStr">
        <is>
          <t>Semester 3</t>
        </is>
      </c>
      <c r="E56" s="2" t="inlineStr">
        <is>
          <t>MBA 690</t>
        </is>
      </c>
      <c r="F56" s="2">
        <f>IFERROR(VLOOKUP(E56,Courses!$A:$C,2,FALSE),"")</f>
        <v/>
      </c>
      <c r="G56" s="2">
        <f>IFERROR(VLOOKUP(E56,Courses!$A:$C,3,FALSE),0)</f>
        <v/>
      </c>
      <c r="H56" s="2" t="inlineStr">
        <is>
          <t>A-</t>
        </is>
      </c>
      <c r="I56" s="2" t="n">
        <v>91</v>
      </c>
      <c r="J56" s="2">
        <f>IFERROR(VLOOKUP(H56,'Grade Scale'!$A:$B,2,FALSE),0)</f>
        <v/>
      </c>
      <c r="K56" s="2">
        <f>J56*G56</f>
        <v/>
      </c>
      <c r="L56" s="2">
        <f>IF(H56="F",0,G56)</f>
        <v/>
      </c>
    </row>
    <row r="57">
      <c r="A57" s="2" t="inlineStr">
        <is>
          <t>m240103</t>
        </is>
      </c>
      <c r="B57" s="2">
        <f>IFERROR(VLOOKUP(A57,Students!$A:$B,2,FALSE),"")</f>
        <v/>
      </c>
      <c r="C57" s="2" t="inlineStr">
        <is>
          <t>Spring 2026</t>
        </is>
      </c>
      <c r="D57" s="2" t="inlineStr">
        <is>
          <t>Semester 4</t>
        </is>
      </c>
      <c r="E57" s="2" t="inlineStr">
        <is>
          <t>MBA 650</t>
        </is>
      </c>
      <c r="F57" s="2">
        <f>IFERROR(VLOOKUP(E57,Courses!$A:$C,2,FALSE),"")</f>
        <v/>
      </c>
      <c r="G57" s="2">
        <f>IFERROR(VLOOKUP(E57,Courses!$A:$C,3,FALSE),0)</f>
        <v/>
      </c>
      <c r="H57" s="2" t="inlineStr">
        <is>
          <t>A-</t>
        </is>
      </c>
      <c r="I57" s="2" t="n">
        <v>92</v>
      </c>
      <c r="J57" s="2">
        <f>IFERROR(VLOOKUP(H57,'Grade Scale'!$A:$B,2,FALSE),0)</f>
        <v/>
      </c>
      <c r="K57" s="2">
        <f>J57*G57</f>
        <v/>
      </c>
      <c r="L57" s="2">
        <f>IF(H57="F",0,G57)</f>
        <v/>
      </c>
    </row>
    <row r="58">
      <c r="A58" s="2" t="inlineStr">
        <is>
          <t>m240103</t>
        </is>
      </c>
      <c r="B58" s="2">
        <f>IFERROR(VLOOKUP(A58,Students!$A:$B,2,FALSE),"")</f>
        <v/>
      </c>
      <c r="C58" s="2" t="inlineStr">
        <is>
          <t>Spring 2026</t>
        </is>
      </c>
      <c r="D58" s="2" t="inlineStr">
        <is>
          <t>Semester 4</t>
        </is>
      </c>
      <c r="E58" s="2" t="inlineStr">
        <is>
          <t>MBA 660</t>
        </is>
      </c>
      <c r="F58" s="2">
        <f>IFERROR(VLOOKUP(E58,Courses!$A:$C,2,FALSE),"")</f>
        <v/>
      </c>
      <c r="G58" s="2">
        <f>IFERROR(VLOOKUP(E58,Courses!$A:$C,3,FALSE),0)</f>
        <v/>
      </c>
      <c r="H58" s="2" t="inlineStr">
        <is>
          <t>A</t>
        </is>
      </c>
      <c r="I58" s="2" t="n">
        <v>93</v>
      </c>
      <c r="J58" s="2">
        <f>IFERROR(VLOOKUP(H58,'Grade Scale'!$A:$B,2,FALSE),0)</f>
        <v/>
      </c>
      <c r="K58" s="2">
        <f>J58*G58</f>
        <v/>
      </c>
      <c r="L58" s="2">
        <f>IF(H58="F",0,G58)</f>
        <v/>
      </c>
    </row>
    <row r="59">
      <c r="A59" s="2" t="inlineStr">
        <is>
          <t>m240103</t>
        </is>
      </c>
      <c r="B59" s="2">
        <f>IFERROR(VLOOKUP(A59,Students!$A:$B,2,FALSE),"")</f>
        <v/>
      </c>
      <c r="C59" s="2" t="inlineStr">
        <is>
          <t>Spring 2026</t>
        </is>
      </c>
      <c r="D59" s="2" t="inlineStr">
        <is>
          <t>Semester 4</t>
        </is>
      </c>
      <c r="E59" s="2" t="inlineStr">
        <is>
          <t>MBA 670</t>
        </is>
      </c>
      <c r="F59" s="2">
        <f>IFERROR(VLOOKUP(E59,Courses!$A:$C,2,FALSE),"")</f>
        <v/>
      </c>
      <c r="G59" s="2">
        <f>IFERROR(VLOOKUP(E59,Courses!$A:$C,3,FALSE),0)</f>
        <v/>
      </c>
      <c r="H59" s="2" t="inlineStr">
        <is>
          <t>A</t>
        </is>
      </c>
      <c r="I59" s="2" t="n">
        <v>95</v>
      </c>
      <c r="J59" s="2">
        <f>IFERROR(VLOOKUP(H59,'Grade Scale'!$A:$B,2,FALSE),0)</f>
        <v/>
      </c>
      <c r="K59" s="2">
        <f>J59*G59</f>
        <v/>
      </c>
      <c r="L59" s="2">
        <f>IF(H59="F",0,G59)</f>
        <v/>
      </c>
    </row>
    <row r="60">
      <c r="A60" s="2" t="inlineStr">
        <is>
          <t>m240103</t>
        </is>
      </c>
      <c r="B60" s="2">
        <f>IFERROR(VLOOKUP(A60,Students!$A:$B,2,FALSE),"")</f>
        <v/>
      </c>
      <c r="C60" s="2" t="inlineStr">
        <is>
          <t>Spring 2026</t>
        </is>
      </c>
      <c r="D60" s="2" t="inlineStr">
        <is>
          <t>Semester 4</t>
        </is>
      </c>
      <c r="E60" s="2" t="inlineStr">
        <is>
          <t>MBA 680</t>
        </is>
      </c>
      <c r="F60" s="2">
        <f>IFERROR(VLOOKUP(E60,Courses!$A:$C,2,FALSE),"")</f>
        <v/>
      </c>
      <c r="G60" s="2">
        <f>IFERROR(VLOOKUP(E60,Courses!$A:$C,3,FALSE),0)</f>
        <v/>
      </c>
      <c r="H60" s="2" t="inlineStr">
        <is>
          <t>A</t>
        </is>
      </c>
      <c r="I60" s="2" t="n">
        <v>100</v>
      </c>
      <c r="J60" s="2">
        <f>IFERROR(VLOOKUP(H60,'Grade Scale'!$A:$B,2,FALSE),0)</f>
        <v/>
      </c>
      <c r="K60" s="2">
        <f>J60*G60</f>
        <v/>
      </c>
      <c r="L60" s="2">
        <f>IF(H60="F",0,G60)</f>
        <v/>
      </c>
    </row>
    <row r="61">
      <c r="A61" s="2" t="inlineStr">
        <is>
          <t>m240103</t>
        </is>
      </c>
      <c r="B61" s="2">
        <f>IFERROR(VLOOKUP(A61,Students!$A:$B,2,FALSE),"")</f>
        <v/>
      </c>
      <c r="C61" s="2" t="inlineStr">
        <is>
          <t>Spring 2026</t>
        </is>
      </c>
      <c r="D61" s="2" t="inlineStr">
        <is>
          <t>Semester 4</t>
        </is>
      </c>
      <c r="E61" s="2" t="inlineStr">
        <is>
          <t>MBA 699</t>
        </is>
      </c>
      <c r="F61" s="2">
        <f>IFERROR(VLOOKUP(E61,Courses!$A:$C,2,FALSE),"")</f>
        <v/>
      </c>
      <c r="G61" s="2">
        <f>IFERROR(VLOOKUP(E61,Courses!$A:$C,3,FALSE),0)</f>
        <v/>
      </c>
      <c r="H61" s="2" t="inlineStr">
        <is>
          <t>A</t>
        </is>
      </c>
      <c r="I61" s="2" t="n">
        <v>95</v>
      </c>
      <c r="J61" s="2">
        <f>IFERROR(VLOOKUP(H61,'Grade Scale'!$A:$B,2,FALSE),0)</f>
        <v/>
      </c>
      <c r="K61" s="2">
        <f>J61*G61</f>
        <v/>
      </c>
      <c r="L61" s="2">
        <f>IF(H61="F",0,G61)</f>
        <v/>
      </c>
    </row>
    <row r="62">
      <c r="A62" s="2" t="inlineStr">
        <is>
          <t>m240104</t>
        </is>
      </c>
      <c r="B62" s="2">
        <f>IFERROR(VLOOKUP(A62,Students!$A:$B,2,FALSE),"")</f>
        <v/>
      </c>
      <c r="C62" s="2" t="inlineStr">
        <is>
          <t>Fall 2024</t>
        </is>
      </c>
      <c r="D62" s="2" t="inlineStr">
        <is>
          <t>Semester 1</t>
        </is>
      </c>
      <c r="E62" s="2" t="inlineStr">
        <is>
          <t>CSE 101</t>
        </is>
      </c>
      <c r="F62" s="2">
        <f>IFERROR(VLOOKUP(E62,Courses!$A:$C,2,FALSE),"")</f>
        <v/>
      </c>
      <c r="G62" s="2">
        <f>IFERROR(VLOOKUP(E62,Courses!$A:$C,3,FALSE),0)</f>
        <v/>
      </c>
      <c r="H62" s="2" t="inlineStr">
        <is>
          <t>B+</t>
        </is>
      </c>
      <c r="I62" s="2" t="n">
        <v>88</v>
      </c>
      <c r="J62" s="2">
        <f>IFERROR(VLOOKUP(H62,'Grade Scale'!$A:$B,2,FALSE),0)</f>
        <v/>
      </c>
      <c r="K62" s="2">
        <f>J62*G62</f>
        <v/>
      </c>
      <c r="L62" s="2">
        <f>IF(H62="F",0,G62)</f>
        <v/>
      </c>
    </row>
    <row r="63">
      <c r="A63" s="2" t="inlineStr">
        <is>
          <t>m240104</t>
        </is>
      </c>
      <c r="B63" s="2">
        <f>IFERROR(VLOOKUP(A63,Students!$A:$B,2,FALSE),"")</f>
        <v/>
      </c>
      <c r="C63" s="2" t="inlineStr">
        <is>
          <t>Fall 2024</t>
        </is>
      </c>
      <c r="D63" s="2" t="inlineStr">
        <is>
          <t>Semester 1</t>
        </is>
      </c>
      <c r="E63" s="2" t="inlineStr">
        <is>
          <t>MTH 110</t>
        </is>
      </c>
      <c r="F63" s="2">
        <f>IFERROR(VLOOKUP(E63,Courses!$A:$C,2,FALSE),"")</f>
        <v/>
      </c>
      <c r="G63" s="2">
        <f>IFERROR(VLOOKUP(E63,Courses!$A:$C,3,FALSE),0)</f>
        <v/>
      </c>
      <c r="H63" s="2" t="inlineStr">
        <is>
          <t>B</t>
        </is>
      </c>
      <c r="I63" s="2" t="n">
        <v>84</v>
      </c>
      <c r="J63" s="2">
        <f>IFERROR(VLOOKUP(H63,'Grade Scale'!$A:$B,2,FALSE),0)</f>
        <v/>
      </c>
      <c r="K63" s="2">
        <f>J63*G63</f>
        <v/>
      </c>
      <c r="L63" s="2">
        <f>IF(H63="F",0,G63)</f>
        <v/>
      </c>
    </row>
    <row r="64">
      <c r="A64" s="2" t="inlineStr">
        <is>
          <t>m240104</t>
        </is>
      </c>
      <c r="B64" s="2">
        <f>IFERROR(VLOOKUP(A64,Students!$A:$B,2,FALSE),"")</f>
        <v/>
      </c>
      <c r="C64" s="2" t="inlineStr">
        <is>
          <t>Fall 2024</t>
        </is>
      </c>
      <c r="D64" s="2" t="inlineStr">
        <is>
          <t>Semester 1</t>
        </is>
      </c>
      <c r="E64" s="2" t="inlineStr">
        <is>
          <t>CSE 120</t>
        </is>
      </c>
      <c r="F64" s="2">
        <f>IFERROR(VLOOKUP(E64,Courses!$A:$C,2,FALSE),"")</f>
        <v/>
      </c>
      <c r="G64" s="2">
        <f>IFERROR(VLOOKUP(E64,Courses!$A:$C,3,FALSE),0)</f>
        <v/>
      </c>
      <c r="H64" s="2" t="inlineStr">
        <is>
          <t>B-</t>
        </is>
      </c>
      <c r="I64" s="2" t="n">
        <v>81</v>
      </c>
      <c r="J64" s="2">
        <f>IFERROR(VLOOKUP(H64,'Grade Scale'!$A:$B,2,FALSE),0)</f>
        <v/>
      </c>
      <c r="K64" s="2">
        <f>J64*G64</f>
        <v/>
      </c>
      <c r="L64" s="2">
        <f>IF(H64="F",0,G64)</f>
        <v/>
      </c>
    </row>
    <row r="65">
      <c r="A65" s="2" t="inlineStr">
        <is>
          <t>m240104</t>
        </is>
      </c>
      <c r="B65" s="2">
        <f>IFERROR(VLOOKUP(A65,Students!$A:$B,2,FALSE),"")</f>
        <v/>
      </c>
      <c r="C65" s="2" t="inlineStr">
        <is>
          <t>Fall 2024</t>
        </is>
      </c>
      <c r="D65" s="2" t="inlineStr">
        <is>
          <t>Semester 1</t>
        </is>
      </c>
      <c r="E65" s="2" t="inlineStr">
        <is>
          <t>ENG 101</t>
        </is>
      </c>
      <c r="F65" s="2">
        <f>IFERROR(VLOOKUP(E65,Courses!$A:$C,2,FALSE),"")</f>
        <v/>
      </c>
      <c r="G65" s="2">
        <f>IFERROR(VLOOKUP(E65,Courses!$A:$C,3,FALSE),0)</f>
        <v/>
      </c>
      <c r="H65" s="2" t="inlineStr">
        <is>
          <t>B-</t>
        </is>
      </c>
      <c r="I65" s="2" t="n">
        <v>81</v>
      </c>
      <c r="J65" s="2">
        <f>IFERROR(VLOOKUP(H65,'Grade Scale'!$A:$B,2,FALSE),0)</f>
        <v/>
      </c>
      <c r="K65" s="2">
        <f>J65*G65</f>
        <v/>
      </c>
      <c r="L65" s="2">
        <f>IF(H65="F",0,G65)</f>
        <v/>
      </c>
    </row>
    <row r="66">
      <c r="A66" s="2" t="inlineStr">
        <is>
          <t>m240104</t>
        </is>
      </c>
      <c r="B66" s="2">
        <f>IFERROR(VLOOKUP(A66,Students!$A:$B,2,FALSE),"")</f>
        <v/>
      </c>
      <c r="C66" s="2" t="inlineStr">
        <is>
          <t>Fall 2024</t>
        </is>
      </c>
      <c r="D66" s="2" t="inlineStr">
        <is>
          <t>Semester 1</t>
        </is>
      </c>
      <c r="E66" s="2" t="inlineStr">
        <is>
          <t>MTH 120</t>
        </is>
      </c>
      <c r="F66" s="2">
        <f>IFERROR(VLOOKUP(E66,Courses!$A:$C,2,FALSE),"")</f>
        <v/>
      </c>
      <c r="G66" s="2">
        <f>IFERROR(VLOOKUP(E66,Courses!$A:$C,3,FALSE),0)</f>
        <v/>
      </c>
      <c r="H66" s="2" t="inlineStr">
        <is>
          <t>B-</t>
        </is>
      </c>
      <c r="I66" s="2" t="n">
        <v>82</v>
      </c>
      <c r="J66" s="2">
        <f>IFERROR(VLOOKUP(H66,'Grade Scale'!$A:$B,2,FALSE),0)</f>
        <v/>
      </c>
      <c r="K66" s="2">
        <f>J66*G66</f>
        <v/>
      </c>
      <c r="L66" s="2">
        <f>IF(H66="F",0,G66)</f>
        <v/>
      </c>
    </row>
    <row r="67">
      <c r="A67" s="2" t="inlineStr">
        <is>
          <t>m240104</t>
        </is>
      </c>
      <c r="B67" s="2">
        <f>IFERROR(VLOOKUP(A67,Students!$A:$B,2,FALSE),"")</f>
        <v/>
      </c>
      <c r="C67" s="2" t="inlineStr">
        <is>
          <t>Spring 2025</t>
        </is>
      </c>
      <c r="D67" s="2" t="inlineStr">
        <is>
          <t>Semester 2</t>
        </is>
      </c>
      <c r="E67" s="2" t="inlineStr">
        <is>
          <t>CSE 150</t>
        </is>
      </c>
      <c r="F67" s="2">
        <f>IFERROR(VLOOKUP(E67,Courses!$A:$C,2,FALSE),"")</f>
        <v/>
      </c>
      <c r="G67" s="2">
        <f>IFERROR(VLOOKUP(E67,Courses!$A:$C,3,FALSE),0)</f>
        <v/>
      </c>
      <c r="H67" s="2" t="inlineStr">
        <is>
          <t>B</t>
        </is>
      </c>
      <c r="I67" s="2" t="n">
        <v>86</v>
      </c>
      <c r="J67" s="2">
        <f>IFERROR(VLOOKUP(H67,'Grade Scale'!$A:$B,2,FALSE),0)</f>
        <v/>
      </c>
      <c r="K67" s="2">
        <f>J67*G67</f>
        <v/>
      </c>
      <c r="L67" s="2">
        <f>IF(H67="F",0,G67)</f>
        <v/>
      </c>
    </row>
    <row r="68">
      <c r="A68" s="2" t="inlineStr">
        <is>
          <t>m240104</t>
        </is>
      </c>
      <c r="B68" s="2">
        <f>IFERROR(VLOOKUP(A68,Students!$A:$B,2,FALSE),"")</f>
        <v/>
      </c>
      <c r="C68" s="2" t="inlineStr">
        <is>
          <t>Spring 2025</t>
        </is>
      </c>
      <c r="D68" s="2" t="inlineStr">
        <is>
          <t>Semester 2</t>
        </is>
      </c>
      <c r="E68" s="2" t="inlineStr">
        <is>
          <t>CSE 160</t>
        </is>
      </c>
      <c r="F68" s="2">
        <f>IFERROR(VLOOKUP(E68,Courses!$A:$C,2,FALSE),"")</f>
        <v/>
      </c>
      <c r="G68" s="2">
        <f>IFERROR(VLOOKUP(E68,Courses!$A:$C,3,FALSE),0)</f>
        <v/>
      </c>
      <c r="H68" s="2" t="inlineStr">
        <is>
          <t>A-</t>
        </is>
      </c>
      <c r="I68" s="2" t="n">
        <v>92</v>
      </c>
      <c r="J68" s="2">
        <f>IFERROR(VLOOKUP(H68,'Grade Scale'!$A:$B,2,FALSE),0)</f>
        <v/>
      </c>
      <c r="K68" s="2">
        <f>J68*G68</f>
        <v/>
      </c>
      <c r="L68" s="2">
        <f>IF(H68="F",0,G68)</f>
        <v/>
      </c>
    </row>
    <row r="69">
      <c r="A69" s="2" t="inlineStr">
        <is>
          <t>m240104</t>
        </is>
      </c>
      <c r="B69" s="2">
        <f>IFERROR(VLOOKUP(A69,Students!$A:$B,2,FALSE),"")</f>
        <v/>
      </c>
      <c r="C69" s="2" t="inlineStr">
        <is>
          <t>Spring 2025</t>
        </is>
      </c>
      <c r="D69" s="2" t="inlineStr">
        <is>
          <t>Semester 2</t>
        </is>
      </c>
      <c r="E69" s="2" t="inlineStr">
        <is>
          <t>CSE 170</t>
        </is>
      </c>
      <c r="F69" s="2">
        <f>IFERROR(VLOOKUP(E69,Courses!$A:$C,2,FALSE),"")</f>
        <v/>
      </c>
      <c r="G69" s="2">
        <f>IFERROR(VLOOKUP(E69,Courses!$A:$C,3,FALSE),0)</f>
        <v/>
      </c>
      <c r="H69" s="2" t="inlineStr">
        <is>
          <t>B-</t>
        </is>
      </c>
      <c r="I69" s="2" t="n">
        <v>80</v>
      </c>
      <c r="J69" s="2">
        <f>IFERROR(VLOOKUP(H69,'Grade Scale'!$A:$B,2,FALSE),0)</f>
        <v/>
      </c>
      <c r="K69" s="2">
        <f>J69*G69</f>
        <v/>
      </c>
      <c r="L69" s="2">
        <f>IF(H69="F",0,G69)</f>
        <v/>
      </c>
    </row>
    <row r="70">
      <c r="A70" s="2" t="inlineStr">
        <is>
          <t>m240104</t>
        </is>
      </c>
      <c r="B70" s="2">
        <f>IFERROR(VLOOKUP(A70,Students!$A:$B,2,FALSE),"")</f>
        <v/>
      </c>
      <c r="C70" s="2" t="inlineStr">
        <is>
          <t>Spring 2025</t>
        </is>
      </c>
      <c r="D70" s="2" t="inlineStr">
        <is>
          <t>Semester 2</t>
        </is>
      </c>
      <c r="E70" s="2" t="inlineStr">
        <is>
          <t>ENG 102</t>
        </is>
      </c>
      <c r="F70" s="2">
        <f>IFERROR(VLOOKUP(E70,Courses!$A:$C,2,FALSE),"")</f>
        <v/>
      </c>
      <c r="G70" s="2">
        <f>IFERROR(VLOOKUP(E70,Courses!$A:$C,3,FALSE),0)</f>
        <v/>
      </c>
      <c r="H70" s="2" t="inlineStr">
        <is>
          <t>C+</t>
        </is>
      </c>
      <c r="I70" s="2" t="n">
        <v>79</v>
      </c>
      <c r="J70" s="2">
        <f>IFERROR(VLOOKUP(H70,'Grade Scale'!$A:$B,2,FALSE),0)</f>
        <v/>
      </c>
      <c r="K70" s="2">
        <f>J70*G70</f>
        <v/>
      </c>
      <c r="L70" s="2">
        <f>IF(H70="F",0,G70)</f>
        <v/>
      </c>
    </row>
    <row r="71">
      <c r="A71" s="2" t="inlineStr">
        <is>
          <t>m240104</t>
        </is>
      </c>
      <c r="B71" s="2">
        <f>IFERROR(VLOOKUP(A71,Students!$A:$B,2,FALSE),"")</f>
        <v/>
      </c>
      <c r="C71" s="2" t="inlineStr">
        <is>
          <t>Spring 2025</t>
        </is>
      </c>
      <c r="D71" s="2" t="inlineStr">
        <is>
          <t>Semester 2</t>
        </is>
      </c>
      <c r="E71" s="2" t="inlineStr">
        <is>
          <t>MTH 130</t>
        </is>
      </c>
      <c r="F71" s="2">
        <f>IFERROR(VLOOKUP(E71,Courses!$A:$C,2,FALSE),"")</f>
        <v/>
      </c>
      <c r="G71" s="2">
        <f>IFERROR(VLOOKUP(E71,Courses!$A:$C,3,FALSE),0)</f>
        <v/>
      </c>
      <c r="H71" s="2" t="inlineStr">
        <is>
          <t>B+</t>
        </is>
      </c>
      <c r="I71" s="2" t="n">
        <v>88</v>
      </c>
      <c r="J71" s="2">
        <f>IFERROR(VLOOKUP(H71,'Grade Scale'!$A:$B,2,FALSE),0)</f>
        <v/>
      </c>
      <c r="K71" s="2">
        <f>J71*G71</f>
        <v/>
      </c>
      <c r="L71" s="2">
        <f>IF(H71="F",0,G71)</f>
        <v/>
      </c>
    </row>
    <row r="72">
      <c r="A72" s="2" t="inlineStr">
        <is>
          <t>m240104</t>
        </is>
      </c>
      <c r="B72" s="2">
        <f>IFERROR(VLOOKUP(A72,Students!$A:$B,2,FALSE),"")</f>
        <v/>
      </c>
      <c r="C72" s="2" t="inlineStr">
        <is>
          <t>Fall 2025</t>
        </is>
      </c>
      <c r="D72" s="2" t="inlineStr">
        <is>
          <t>Semester 3</t>
        </is>
      </c>
      <c r="E72" s="2" t="inlineStr">
        <is>
          <t>CSE 210</t>
        </is>
      </c>
      <c r="F72" s="2">
        <f>IFERROR(VLOOKUP(E72,Courses!$A:$C,2,FALSE),"")</f>
        <v/>
      </c>
      <c r="G72" s="2">
        <f>IFERROR(VLOOKUP(E72,Courses!$A:$C,3,FALSE),0)</f>
        <v/>
      </c>
      <c r="H72" s="2" t="inlineStr">
        <is>
          <t>A</t>
        </is>
      </c>
      <c r="I72" s="2" t="n">
        <v>100</v>
      </c>
      <c r="J72" s="2">
        <f>IFERROR(VLOOKUP(H72,'Grade Scale'!$A:$B,2,FALSE),0)</f>
        <v/>
      </c>
      <c r="K72" s="2">
        <f>J72*G72</f>
        <v/>
      </c>
      <c r="L72" s="2">
        <f>IF(H72="F",0,G72)</f>
        <v/>
      </c>
    </row>
    <row r="73">
      <c r="A73" s="2" t="inlineStr">
        <is>
          <t>m240104</t>
        </is>
      </c>
      <c r="B73" s="2">
        <f>IFERROR(VLOOKUP(A73,Students!$A:$B,2,FALSE),"")</f>
        <v/>
      </c>
      <c r="C73" s="2" t="inlineStr">
        <is>
          <t>Fall 2025</t>
        </is>
      </c>
      <c r="D73" s="2" t="inlineStr">
        <is>
          <t>Semester 3</t>
        </is>
      </c>
      <c r="E73" s="2" t="inlineStr">
        <is>
          <t>CSE 220</t>
        </is>
      </c>
      <c r="F73" s="2">
        <f>IFERROR(VLOOKUP(E73,Courses!$A:$C,2,FALSE),"")</f>
        <v/>
      </c>
      <c r="G73" s="2">
        <f>IFERROR(VLOOKUP(E73,Courses!$A:$C,3,FALSE),0)</f>
        <v/>
      </c>
      <c r="H73" s="2" t="inlineStr">
        <is>
          <t>C+</t>
        </is>
      </c>
      <c r="I73" s="2" t="n">
        <v>78</v>
      </c>
      <c r="J73" s="2">
        <f>IFERROR(VLOOKUP(H73,'Grade Scale'!$A:$B,2,FALSE),0)</f>
        <v/>
      </c>
      <c r="K73" s="2">
        <f>J73*G73</f>
        <v/>
      </c>
      <c r="L73" s="2">
        <f>IF(H73="F",0,G73)</f>
        <v/>
      </c>
    </row>
    <row r="74">
      <c r="A74" s="2" t="inlineStr">
        <is>
          <t>m240104</t>
        </is>
      </c>
      <c r="B74" s="2">
        <f>IFERROR(VLOOKUP(A74,Students!$A:$B,2,FALSE),"")</f>
        <v/>
      </c>
      <c r="C74" s="2" t="inlineStr">
        <is>
          <t>Fall 2025</t>
        </is>
      </c>
      <c r="D74" s="2" t="inlineStr">
        <is>
          <t>Semester 3</t>
        </is>
      </c>
      <c r="E74" s="2" t="inlineStr">
        <is>
          <t>CSE 230</t>
        </is>
      </c>
      <c r="F74" s="2">
        <f>IFERROR(VLOOKUP(E74,Courses!$A:$C,2,FALSE),"")</f>
        <v/>
      </c>
      <c r="G74" s="2">
        <f>IFERROR(VLOOKUP(E74,Courses!$A:$C,3,FALSE),0)</f>
        <v/>
      </c>
      <c r="H74" s="2" t="inlineStr">
        <is>
          <t>C+</t>
        </is>
      </c>
      <c r="I74" s="2" t="n">
        <v>79</v>
      </c>
      <c r="J74" s="2">
        <f>IFERROR(VLOOKUP(H74,'Grade Scale'!$A:$B,2,FALSE),0)</f>
        <v/>
      </c>
      <c r="K74" s="2">
        <f>J74*G74</f>
        <v/>
      </c>
      <c r="L74" s="2">
        <f>IF(H74="F",0,G74)</f>
        <v/>
      </c>
    </row>
    <row r="75">
      <c r="A75" s="2" t="inlineStr">
        <is>
          <t>m240104</t>
        </is>
      </c>
      <c r="B75" s="2">
        <f>IFERROR(VLOOKUP(A75,Students!$A:$B,2,FALSE),"")</f>
        <v/>
      </c>
      <c r="C75" s="2" t="inlineStr">
        <is>
          <t>Fall 2025</t>
        </is>
      </c>
      <c r="D75" s="2" t="inlineStr">
        <is>
          <t>Semester 3</t>
        </is>
      </c>
      <c r="E75" s="2" t="inlineStr">
        <is>
          <t>CSE 240</t>
        </is>
      </c>
      <c r="F75" s="2">
        <f>IFERROR(VLOOKUP(E75,Courses!$A:$C,2,FALSE),"")</f>
        <v/>
      </c>
      <c r="G75" s="2">
        <f>IFERROR(VLOOKUP(E75,Courses!$A:$C,3,FALSE),0)</f>
        <v/>
      </c>
      <c r="H75" s="2" t="inlineStr">
        <is>
          <t>B</t>
        </is>
      </c>
      <c r="I75" s="2" t="n">
        <v>84</v>
      </c>
      <c r="J75" s="2">
        <f>IFERROR(VLOOKUP(H75,'Grade Scale'!$A:$B,2,FALSE),0)</f>
        <v/>
      </c>
      <c r="K75" s="2">
        <f>J75*G75</f>
        <v/>
      </c>
      <c r="L75" s="2">
        <f>IF(H75="F",0,G75)</f>
        <v/>
      </c>
    </row>
    <row r="76">
      <c r="A76" s="2" t="inlineStr">
        <is>
          <t>m240104</t>
        </is>
      </c>
      <c r="B76" s="2">
        <f>IFERROR(VLOOKUP(A76,Students!$A:$B,2,FALSE),"")</f>
        <v/>
      </c>
      <c r="C76" s="2" t="inlineStr">
        <is>
          <t>Fall 2025</t>
        </is>
      </c>
      <c r="D76" s="2" t="inlineStr">
        <is>
          <t>Semester 3</t>
        </is>
      </c>
      <c r="E76" s="2" t="inlineStr">
        <is>
          <t>STA 201</t>
        </is>
      </c>
      <c r="F76" s="2">
        <f>IFERROR(VLOOKUP(E76,Courses!$A:$C,2,FALSE),"")</f>
        <v/>
      </c>
      <c r="G76" s="2">
        <f>IFERROR(VLOOKUP(E76,Courses!$A:$C,3,FALSE),0)</f>
        <v/>
      </c>
      <c r="H76" s="2" t="inlineStr">
        <is>
          <t>B</t>
        </is>
      </c>
      <c r="I76" s="2" t="n">
        <v>84</v>
      </c>
      <c r="J76" s="2">
        <f>IFERROR(VLOOKUP(H76,'Grade Scale'!$A:$B,2,FALSE),0)</f>
        <v/>
      </c>
      <c r="K76" s="2">
        <f>J76*G76</f>
        <v/>
      </c>
      <c r="L76" s="2">
        <f>IF(H76="F",0,G76)</f>
        <v/>
      </c>
    </row>
    <row r="77">
      <c r="A77" s="2" t="inlineStr">
        <is>
          <t>m240104</t>
        </is>
      </c>
      <c r="B77" s="2">
        <f>IFERROR(VLOOKUP(A77,Students!$A:$B,2,FALSE),"")</f>
        <v/>
      </c>
      <c r="C77" s="2" t="inlineStr">
        <is>
          <t>Spring 2026</t>
        </is>
      </c>
      <c r="D77" s="2" t="inlineStr">
        <is>
          <t>Semester 4</t>
        </is>
      </c>
      <c r="E77" s="2" t="inlineStr">
        <is>
          <t>CSE 250</t>
        </is>
      </c>
      <c r="F77" s="2">
        <f>IFERROR(VLOOKUP(E77,Courses!$A:$C,2,FALSE),"")</f>
        <v/>
      </c>
      <c r="G77" s="2">
        <f>IFERROR(VLOOKUP(E77,Courses!$A:$C,3,FALSE),0)</f>
        <v/>
      </c>
      <c r="H77" s="2" t="inlineStr">
        <is>
          <t>B-</t>
        </is>
      </c>
      <c r="I77" s="2" t="n">
        <v>81</v>
      </c>
      <c r="J77" s="2">
        <f>IFERROR(VLOOKUP(H77,'Grade Scale'!$A:$B,2,FALSE),0)</f>
        <v/>
      </c>
      <c r="K77" s="2">
        <f>J77*G77</f>
        <v/>
      </c>
      <c r="L77" s="2">
        <f>IF(H77="F",0,G77)</f>
        <v/>
      </c>
    </row>
    <row r="78">
      <c r="A78" s="2" t="inlineStr">
        <is>
          <t>m240104</t>
        </is>
      </c>
      <c r="B78" s="2">
        <f>IFERROR(VLOOKUP(A78,Students!$A:$B,2,FALSE),"")</f>
        <v/>
      </c>
      <c r="C78" s="2" t="inlineStr">
        <is>
          <t>Spring 2026</t>
        </is>
      </c>
      <c r="D78" s="2" t="inlineStr">
        <is>
          <t>Semester 4</t>
        </is>
      </c>
      <c r="E78" s="2" t="inlineStr">
        <is>
          <t>CSE 260</t>
        </is>
      </c>
      <c r="F78" s="2">
        <f>IFERROR(VLOOKUP(E78,Courses!$A:$C,2,FALSE),"")</f>
        <v/>
      </c>
      <c r="G78" s="2">
        <f>IFERROR(VLOOKUP(E78,Courses!$A:$C,3,FALSE),0)</f>
        <v/>
      </c>
      <c r="H78" s="2" t="inlineStr">
        <is>
          <t>B+</t>
        </is>
      </c>
      <c r="I78" s="2" t="n">
        <v>88</v>
      </c>
      <c r="J78" s="2">
        <f>IFERROR(VLOOKUP(H78,'Grade Scale'!$A:$B,2,FALSE),0)</f>
        <v/>
      </c>
      <c r="K78" s="2">
        <f>J78*G78</f>
        <v/>
      </c>
      <c r="L78" s="2">
        <f>IF(H78="F",0,G78)</f>
        <v/>
      </c>
    </row>
    <row r="79">
      <c r="A79" s="2" t="inlineStr">
        <is>
          <t>m240104</t>
        </is>
      </c>
      <c r="B79" s="2">
        <f>IFERROR(VLOOKUP(A79,Students!$A:$B,2,FALSE),"")</f>
        <v/>
      </c>
      <c r="C79" s="2" t="inlineStr">
        <is>
          <t>Spring 2026</t>
        </is>
      </c>
      <c r="D79" s="2" t="inlineStr">
        <is>
          <t>Semester 4</t>
        </is>
      </c>
      <c r="E79" s="2" t="inlineStr">
        <is>
          <t>CSE 270</t>
        </is>
      </c>
      <c r="F79" s="2">
        <f>IFERROR(VLOOKUP(E79,Courses!$A:$C,2,FALSE),"")</f>
        <v/>
      </c>
      <c r="G79" s="2">
        <f>IFERROR(VLOOKUP(E79,Courses!$A:$C,3,FALSE),0)</f>
        <v/>
      </c>
      <c r="H79" s="2" t="inlineStr">
        <is>
          <t>C+</t>
        </is>
      </c>
      <c r="I79" s="2" t="n">
        <v>79</v>
      </c>
      <c r="J79" s="2">
        <f>IFERROR(VLOOKUP(H79,'Grade Scale'!$A:$B,2,FALSE),0)</f>
        <v/>
      </c>
      <c r="K79" s="2">
        <f>J79*G79</f>
        <v/>
      </c>
      <c r="L79" s="2">
        <f>IF(H79="F",0,G79)</f>
        <v/>
      </c>
    </row>
    <row r="80">
      <c r="A80" s="2" t="inlineStr">
        <is>
          <t>m240104</t>
        </is>
      </c>
      <c r="B80" s="2">
        <f>IFERROR(VLOOKUP(A80,Students!$A:$B,2,FALSE),"")</f>
        <v/>
      </c>
      <c r="C80" s="2" t="inlineStr">
        <is>
          <t>Spring 2026</t>
        </is>
      </c>
      <c r="D80" s="2" t="inlineStr">
        <is>
          <t>Semester 4</t>
        </is>
      </c>
      <c r="E80" s="2" t="inlineStr">
        <is>
          <t>CSE 280</t>
        </is>
      </c>
      <c r="F80" s="2">
        <f>IFERROR(VLOOKUP(E80,Courses!$A:$C,2,FALSE),"")</f>
        <v/>
      </c>
      <c r="G80" s="2">
        <f>IFERROR(VLOOKUP(E80,Courses!$A:$C,3,FALSE),0)</f>
        <v/>
      </c>
      <c r="H80" s="2" t="inlineStr">
        <is>
          <t>C</t>
        </is>
      </c>
      <c r="I80" s="2" t="n">
        <v>74</v>
      </c>
      <c r="J80" s="2">
        <f>IFERROR(VLOOKUP(H80,'Grade Scale'!$A:$B,2,FALSE),0)</f>
        <v/>
      </c>
      <c r="K80" s="2">
        <f>J80*G80</f>
        <v/>
      </c>
      <c r="L80" s="2">
        <f>IF(H80="F",0,G80)</f>
        <v/>
      </c>
    </row>
    <row r="81">
      <c r="A81" s="2" t="inlineStr">
        <is>
          <t>m240104</t>
        </is>
      </c>
      <c r="B81" s="2">
        <f>IFERROR(VLOOKUP(A81,Students!$A:$B,2,FALSE),"")</f>
        <v/>
      </c>
      <c r="C81" s="2" t="inlineStr">
        <is>
          <t>Spring 2026</t>
        </is>
      </c>
      <c r="D81" s="2" t="inlineStr">
        <is>
          <t>Semester 4</t>
        </is>
      </c>
      <c r="E81" s="2" t="inlineStr">
        <is>
          <t>CSE 290</t>
        </is>
      </c>
      <c r="F81" s="2">
        <f>IFERROR(VLOOKUP(E81,Courses!$A:$C,2,FALSE),"")</f>
        <v/>
      </c>
      <c r="G81" s="2">
        <f>IFERROR(VLOOKUP(E81,Courses!$A:$C,3,FALSE),0)</f>
        <v/>
      </c>
      <c r="H81" s="2" t="inlineStr">
        <is>
          <t>B+</t>
        </is>
      </c>
      <c r="I81" s="2" t="n">
        <v>88</v>
      </c>
      <c r="J81" s="2">
        <f>IFERROR(VLOOKUP(H81,'Grade Scale'!$A:$B,2,FALSE),0)</f>
        <v/>
      </c>
      <c r="K81" s="2">
        <f>J81*G81</f>
        <v/>
      </c>
      <c r="L81" s="2">
        <f>IF(H81="F",0,G81)</f>
        <v/>
      </c>
    </row>
    <row r="82">
      <c r="A82" s="2" t="inlineStr">
        <is>
          <t>m240105</t>
        </is>
      </c>
      <c r="B82" s="2">
        <f>IFERROR(VLOOKUP(A82,Students!$A:$B,2,FALSE),"")</f>
        <v/>
      </c>
      <c r="C82" s="2" t="inlineStr">
        <is>
          <t>Fall 2024</t>
        </is>
      </c>
      <c r="D82" s="2" t="inlineStr">
        <is>
          <t>Semester 1</t>
        </is>
      </c>
      <c r="E82" s="2" t="inlineStr">
        <is>
          <t>DSC 501</t>
        </is>
      </c>
      <c r="F82" s="2">
        <f>IFERROR(VLOOKUP(E82,Courses!$A:$C,2,FALSE),"")</f>
        <v/>
      </c>
      <c r="G82" s="2">
        <f>IFERROR(VLOOKUP(E82,Courses!$A:$C,3,FALSE),0)</f>
        <v/>
      </c>
      <c r="H82" s="2" t="inlineStr">
        <is>
          <t>B+</t>
        </is>
      </c>
      <c r="I82" s="2" t="n">
        <v>89</v>
      </c>
      <c r="J82" s="2">
        <f>IFERROR(VLOOKUP(H82,'Grade Scale'!$A:$B,2,FALSE),0)</f>
        <v/>
      </c>
      <c r="K82" s="2">
        <f>J82*G82</f>
        <v/>
      </c>
      <c r="L82" s="2">
        <f>IF(H82="F",0,G82)</f>
        <v/>
      </c>
    </row>
    <row r="83">
      <c r="A83" s="2" t="inlineStr">
        <is>
          <t>m240105</t>
        </is>
      </c>
      <c r="B83" s="2">
        <f>IFERROR(VLOOKUP(A83,Students!$A:$B,2,FALSE),"")</f>
        <v/>
      </c>
      <c r="C83" s="2" t="inlineStr">
        <is>
          <t>Fall 2024</t>
        </is>
      </c>
      <c r="D83" s="2" t="inlineStr">
        <is>
          <t>Semester 1</t>
        </is>
      </c>
      <c r="E83" s="2" t="inlineStr">
        <is>
          <t>DSC 510</t>
        </is>
      </c>
      <c r="F83" s="2">
        <f>IFERROR(VLOOKUP(E83,Courses!$A:$C,2,FALSE),"")</f>
        <v/>
      </c>
      <c r="G83" s="2">
        <f>IFERROR(VLOOKUP(E83,Courses!$A:$C,3,FALSE),0)</f>
        <v/>
      </c>
      <c r="H83" s="2" t="inlineStr">
        <is>
          <t>A</t>
        </is>
      </c>
      <c r="I83" s="2" t="n">
        <v>96</v>
      </c>
      <c r="J83" s="2">
        <f>IFERROR(VLOOKUP(H83,'Grade Scale'!$A:$B,2,FALSE),0)</f>
        <v/>
      </c>
      <c r="K83" s="2">
        <f>J83*G83</f>
        <v/>
      </c>
      <c r="L83" s="2">
        <f>IF(H83="F",0,G83)</f>
        <v/>
      </c>
    </row>
    <row r="84">
      <c r="A84" s="2" t="inlineStr">
        <is>
          <t>m240105</t>
        </is>
      </c>
      <c r="B84" s="2">
        <f>IFERROR(VLOOKUP(A84,Students!$A:$B,2,FALSE),"")</f>
        <v/>
      </c>
      <c r="C84" s="2" t="inlineStr">
        <is>
          <t>Fall 2024</t>
        </is>
      </c>
      <c r="D84" s="2" t="inlineStr">
        <is>
          <t>Semester 1</t>
        </is>
      </c>
      <c r="E84" s="2" t="inlineStr">
        <is>
          <t>DSC 520</t>
        </is>
      </c>
      <c r="F84" s="2">
        <f>IFERROR(VLOOKUP(E84,Courses!$A:$C,2,FALSE),"")</f>
        <v/>
      </c>
      <c r="G84" s="2">
        <f>IFERROR(VLOOKUP(E84,Courses!$A:$C,3,FALSE),0)</f>
        <v/>
      </c>
      <c r="H84" s="2" t="inlineStr">
        <is>
          <t>A</t>
        </is>
      </c>
      <c r="I84" s="2" t="n">
        <v>94</v>
      </c>
      <c r="J84" s="2">
        <f>IFERROR(VLOOKUP(H84,'Grade Scale'!$A:$B,2,FALSE),0)</f>
        <v/>
      </c>
      <c r="K84" s="2">
        <f>J84*G84</f>
        <v/>
      </c>
      <c r="L84" s="2">
        <f>IF(H84="F",0,G84)</f>
        <v/>
      </c>
    </row>
    <row r="85">
      <c r="A85" s="2" t="inlineStr">
        <is>
          <t>m240105</t>
        </is>
      </c>
      <c r="B85" s="2">
        <f>IFERROR(VLOOKUP(A85,Students!$A:$B,2,FALSE),"")</f>
        <v/>
      </c>
      <c r="C85" s="2" t="inlineStr">
        <is>
          <t>Fall 2024</t>
        </is>
      </c>
      <c r="D85" s="2" t="inlineStr">
        <is>
          <t>Semester 1</t>
        </is>
      </c>
      <c r="E85" s="2" t="inlineStr">
        <is>
          <t>DSC 530</t>
        </is>
      </c>
      <c r="F85" s="2">
        <f>IFERROR(VLOOKUP(E85,Courses!$A:$C,2,FALSE),"")</f>
        <v/>
      </c>
      <c r="G85" s="2">
        <f>IFERROR(VLOOKUP(E85,Courses!$A:$C,3,FALSE),0)</f>
        <v/>
      </c>
      <c r="H85" s="2" t="inlineStr">
        <is>
          <t>A</t>
        </is>
      </c>
      <c r="I85" s="2" t="n">
        <v>96</v>
      </c>
      <c r="J85" s="2">
        <f>IFERROR(VLOOKUP(H85,'Grade Scale'!$A:$B,2,FALSE),0)</f>
        <v/>
      </c>
      <c r="K85" s="2">
        <f>J85*G85</f>
        <v/>
      </c>
      <c r="L85" s="2">
        <f>IF(H85="F",0,G85)</f>
        <v/>
      </c>
    </row>
    <row r="86">
      <c r="A86" s="2" t="inlineStr">
        <is>
          <t>m240105</t>
        </is>
      </c>
      <c r="B86" s="2">
        <f>IFERROR(VLOOKUP(A86,Students!$A:$B,2,FALSE),"")</f>
        <v/>
      </c>
      <c r="C86" s="2" t="inlineStr">
        <is>
          <t>Fall 2024</t>
        </is>
      </c>
      <c r="D86" s="2" t="inlineStr">
        <is>
          <t>Semester 1</t>
        </is>
      </c>
      <c r="E86" s="2" t="inlineStr">
        <is>
          <t>DSC 540</t>
        </is>
      </c>
      <c r="F86" s="2">
        <f>IFERROR(VLOOKUP(E86,Courses!$A:$C,2,FALSE),"")</f>
        <v/>
      </c>
      <c r="G86" s="2">
        <f>IFERROR(VLOOKUP(E86,Courses!$A:$C,3,FALSE),0)</f>
        <v/>
      </c>
      <c r="H86" s="2" t="inlineStr">
        <is>
          <t>B+</t>
        </is>
      </c>
      <c r="I86" s="2" t="n">
        <v>89</v>
      </c>
      <c r="J86" s="2">
        <f>IFERROR(VLOOKUP(H86,'Grade Scale'!$A:$B,2,FALSE),0)</f>
        <v/>
      </c>
      <c r="K86" s="2">
        <f>J86*G86</f>
        <v/>
      </c>
      <c r="L86" s="2">
        <f>IF(H86="F",0,G86)</f>
        <v/>
      </c>
    </row>
    <row r="87">
      <c r="A87" s="2" t="inlineStr">
        <is>
          <t>m240105</t>
        </is>
      </c>
      <c r="B87" s="2">
        <f>IFERROR(VLOOKUP(A87,Students!$A:$B,2,FALSE),"")</f>
        <v/>
      </c>
      <c r="C87" s="2" t="inlineStr">
        <is>
          <t>Spring 2025</t>
        </is>
      </c>
      <c r="D87" s="2" t="inlineStr">
        <is>
          <t>Semester 2</t>
        </is>
      </c>
      <c r="E87" s="2" t="inlineStr">
        <is>
          <t>DSC 550</t>
        </is>
      </c>
      <c r="F87" s="2">
        <f>IFERROR(VLOOKUP(E87,Courses!$A:$C,2,FALSE),"")</f>
        <v/>
      </c>
      <c r="G87" s="2">
        <f>IFERROR(VLOOKUP(E87,Courses!$A:$C,3,FALSE),0)</f>
        <v/>
      </c>
      <c r="H87" s="2" t="inlineStr">
        <is>
          <t>B+</t>
        </is>
      </c>
      <c r="I87" s="2" t="n">
        <v>87</v>
      </c>
      <c r="J87" s="2">
        <f>IFERROR(VLOOKUP(H87,'Grade Scale'!$A:$B,2,FALSE),0)</f>
        <v/>
      </c>
      <c r="K87" s="2">
        <f>J87*G87</f>
        <v/>
      </c>
      <c r="L87" s="2">
        <f>IF(H87="F",0,G87)</f>
        <v/>
      </c>
    </row>
    <row r="88">
      <c r="A88" s="2" t="inlineStr">
        <is>
          <t>m240105</t>
        </is>
      </c>
      <c r="B88" s="2">
        <f>IFERROR(VLOOKUP(A88,Students!$A:$B,2,FALSE),"")</f>
        <v/>
      </c>
      <c r="C88" s="2" t="inlineStr">
        <is>
          <t>Spring 2025</t>
        </is>
      </c>
      <c r="D88" s="2" t="inlineStr">
        <is>
          <t>Semester 2</t>
        </is>
      </c>
      <c r="E88" s="2" t="inlineStr">
        <is>
          <t>DSC 560</t>
        </is>
      </c>
      <c r="F88" s="2">
        <f>IFERROR(VLOOKUP(E88,Courses!$A:$C,2,FALSE),"")</f>
        <v/>
      </c>
      <c r="G88" s="2">
        <f>IFERROR(VLOOKUP(E88,Courses!$A:$C,3,FALSE),0)</f>
        <v/>
      </c>
      <c r="H88" s="2" t="inlineStr">
        <is>
          <t>B+</t>
        </is>
      </c>
      <c r="I88" s="2" t="n">
        <v>87</v>
      </c>
      <c r="J88" s="2">
        <f>IFERROR(VLOOKUP(H88,'Grade Scale'!$A:$B,2,FALSE),0)</f>
        <v/>
      </c>
      <c r="K88" s="2">
        <f>J88*G88</f>
        <v/>
      </c>
      <c r="L88" s="2">
        <f>IF(H88="F",0,G88)</f>
        <v/>
      </c>
    </row>
    <row r="89">
      <c r="A89" s="2" t="inlineStr">
        <is>
          <t>m240105</t>
        </is>
      </c>
      <c r="B89" s="2">
        <f>IFERROR(VLOOKUP(A89,Students!$A:$B,2,FALSE),"")</f>
        <v/>
      </c>
      <c r="C89" s="2" t="inlineStr">
        <is>
          <t>Spring 2025</t>
        </is>
      </c>
      <c r="D89" s="2" t="inlineStr">
        <is>
          <t>Semester 2</t>
        </is>
      </c>
      <c r="E89" s="2" t="inlineStr">
        <is>
          <t>DSC 570</t>
        </is>
      </c>
      <c r="F89" s="2">
        <f>IFERROR(VLOOKUP(E89,Courses!$A:$C,2,FALSE),"")</f>
        <v/>
      </c>
      <c r="G89" s="2">
        <f>IFERROR(VLOOKUP(E89,Courses!$A:$C,3,FALSE),0)</f>
        <v/>
      </c>
      <c r="H89" s="2" t="inlineStr">
        <is>
          <t>A</t>
        </is>
      </c>
      <c r="I89" s="2" t="n">
        <v>96</v>
      </c>
      <c r="J89" s="2">
        <f>IFERROR(VLOOKUP(H89,'Grade Scale'!$A:$B,2,FALSE),0)</f>
        <v/>
      </c>
      <c r="K89" s="2">
        <f>J89*G89</f>
        <v/>
      </c>
      <c r="L89" s="2">
        <f>IF(H89="F",0,G89)</f>
        <v/>
      </c>
    </row>
    <row r="90">
      <c r="A90" s="2" t="inlineStr">
        <is>
          <t>m240105</t>
        </is>
      </c>
      <c r="B90" s="2">
        <f>IFERROR(VLOOKUP(A90,Students!$A:$B,2,FALSE),"")</f>
        <v/>
      </c>
      <c r="C90" s="2" t="inlineStr">
        <is>
          <t>Spring 2025</t>
        </is>
      </c>
      <c r="D90" s="2" t="inlineStr">
        <is>
          <t>Semester 2</t>
        </is>
      </c>
      <c r="E90" s="2" t="inlineStr">
        <is>
          <t>DSC 580</t>
        </is>
      </c>
      <c r="F90" s="2">
        <f>IFERROR(VLOOKUP(E90,Courses!$A:$C,2,FALSE),"")</f>
        <v/>
      </c>
      <c r="G90" s="2">
        <f>IFERROR(VLOOKUP(E90,Courses!$A:$C,3,FALSE),0)</f>
        <v/>
      </c>
      <c r="H90" s="2" t="inlineStr">
        <is>
          <t>B-</t>
        </is>
      </c>
      <c r="I90" s="2" t="n">
        <v>80</v>
      </c>
      <c r="J90" s="2">
        <f>IFERROR(VLOOKUP(H90,'Grade Scale'!$A:$B,2,FALSE),0)</f>
        <v/>
      </c>
      <c r="K90" s="2">
        <f>J90*G90</f>
        <v/>
      </c>
      <c r="L90" s="2">
        <f>IF(H90="F",0,G90)</f>
        <v/>
      </c>
    </row>
    <row r="91">
      <c r="A91" s="2" t="inlineStr">
        <is>
          <t>m240105</t>
        </is>
      </c>
      <c r="B91" s="2">
        <f>IFERROR(VLOOKUP(A91,Students!$A:$B,2,FALSE),"")</f>
        <v/>
      </c>
      <c r="C91" s="2" t="inlineStr">
        <is>
          <t>Spring 2025</t>
        </is>
      </c>
      <c r="D91" s="2" t="inlineStr">
        <is>
          <t>Semester 2</t>
        </is>
      </c>
      <c r="E91" s="2" t="inlineStr">
        <is>
          <t>DSC 590</t>
        </is>
      </c>
      <c r="F91" s="2">
        <f>IFERROR(VLOOKUP(E91,Courses!$A:$C,2,FALSE),"")</f>
        <v/>
      </c>
      <c r="G91" s="2">
        <f>IFERROR(VLOOKUP(E91,Courses!$A:$C,3,FALSE),0)</f>
        <v/>
      </c>
      <c r="H91" s="2" t="inlineStr">
        <is>
          <t>A</t>
        </is>
      </c>
      <c r="I91" s="2" t="n">
        <v>95</v>
      </c>
      <c r="J91" s="2">
        <f>IFERROR(VLOOKUP(H91,'Grade Scale'!$A:$B,2,FALSE),0)</f>
        <v/>
      </c>
      <c r="K91" s="2">
        <f>J91*G91</f>
        <v/>
      </c>
      <c r="L91" s="2">
        <f>IF(H91="F",0,G91)</f>
        <v/>
      </c>
    </row>
    <row r="92">
      <c r="A92" s="2" t="inlineStr">
        <is>
          <t>m240105</t>
        </is>
      </c>
      <c r="B92" s="2">
        <f>IFERROR(VLOOKUP(A92,Students!$A:$B,2,FALSE),"")</f>
        <v/>
      </c>
      <c r="C92" s="2" t="inlineStr">
        <is>
          <t>Fall 2025</t>
        </is>
      </c>
      <c r="D92" s="2" t="inlineStr">
        <is>
          <t>Semester 3</t>
        </is>
      </c>
      <c r="E92" s="2" t="inlineStr">
        <is>
          <t>DSC 610</t>
        </is>
      </c>
      <c r="F92" s="2">
        <f>IFERROR(VLOOKUP(E92,Courses!$A:$C,2,FALSE),"")</f>
        <v/>
      </c>
      <c r="G92" s="2">
        <f>IFERROR(VLOOKUP(E92,Courses!$A:$C,3,FALSE),0)</f>
        <v/>
      </c>
      <c r="H92" s="2" t="inlineStr">
        <is>
          <t>A</t>
        </is>
      </c>
      <c r="I92" s="2" t="n">
        <v>94</v>
      </c>
      <c r="J92" s="2">
        <f>IFERROR(VLOOKUP(H92,'Grade Scale'!$A:$B,2,FALSE),0)</f>
        <v/>
      </c>
      <c r="K92" s="2">
        <f>J92*G92</f>
        <v/>
      </c>
      <c r="L92" s="2">
        <f>IF(H92="F",0,G92)</f>
        <v/>
      </c>
    </row>
    <row r="93">
      <c r="A93" s="2" t="inlineStr">
        <is>
          <t>m240105</t>
        </is>
      </c>
      <c r="B93" s="2">
        <f>IFERROR(VLOOKUP(A93,Students!$A:$B,2,FALSE),"")</f>
        <v/>
      </c>
      <c r="C93" s="2" t="inlineStr">
        <is>
          <t>Fall 2025</t>
        </is>
      </c>
      <c r="D93" s="2" t="inlineStr">
        <is>
          <t>Semester 3</t>
        </is>
      </c>
      <c r="E93" s="2" t="inlineStr">
        <is>
          <t>DSC 620</t>
        </is>
      </c>
      <c r="F93" s="2">
        <f>IFERROR(VLOOKUP(E93,Courses!$A:$C,2,FALSE),"")</f>
        <v/>
      </c>
      <c r="G93" s="2">
        <f>IFERROR(VLOOKUP(E93,Courses!$A:$C,3,FALSE),0)</f>
        <v/>
      </c>
      <c r="H93" s="2" t="inlineStr">
        <is>
          <t>A</t>
        </is>
      </c>
      <c r="I93" s="2" t="n">
        <v>100</v>
      </c>
      <c r="J93" s="2">
        <f>IFERROR(VLOOKUP(H93,'Grade Scale'!$A:$B,2,FALSE),0)</f>
        <v/>
      </c>
      <c r="K93" s="2">
        <f>J93*G93</f>
        <v/>
      </c>
      <c r="L93" s="2">
        <f>IF(H93="F",0,G93)</f>
        <v/>
      </c>
    </row>
    <row r="94">
      <c r="A94" s="2" t="inlineStr">
        <is>
          <t>m240105</t>
        </is>
      </c>
      <c r="B94" s="2">
        <f>IFERROR(VLOOKUP(A94,Students!$A:$B,2,FALSE),"")</f>
        <v/>
      </c>
      <c r="C94" s="2" t="inlineStr">
        <is>
          <t>Fall 2025</t>
        </is>
      </c>
      <c r="D94" s="2" t="inlineStr">
        <is>
          <t>Semester 3</t>
        </is>
      </c>
      <c r="E94" s="2" t="inlineStr">
        <is>
          <t>DSC 630</t>
        </is>
      </c>
      <c r="F94" s="2">
        <f>IFERROR(VLOOKUP(E94,Courses!$A:$C,2,FALSE),"")</f>
        <v/>
      </c>
      <c r="G94" s="2">
        <f>IFERROR(VLOOKUP(E94,Courses!$A:$C,3,FALSE),0)</f>
        <v/>
      </c>
      <c r="H94" s="2" t="inlineStr">
        <is>
          <t>B</t>
        </is>
      </c>
      <c r="I94" s="2" t="n">
        <v>83</v>
      </c>
      <c r="J94" s="2">
        <f>IFERROR(VLOOKUP(H94,'Grade Scale'!$A:$B,2,FALSE),0)</f>
        <v/>
      </c>
      <c r="K94" s="2">
        <f>J94*G94</f>
        <v/>
      </c>
      <c r="L94" s="2">
        <f>IF(H94="F",0,G94)</f>
        <v/>
      </c>
    </row>
    <row r="95">
      <c r="A95" s="2" t="inlineStr">
        <is>
          <t>m240105</t>
        </is>
      </c>
      <c r="B95" s="2">
        <f>IFERROR(VLOOKUP(A95,Students!$A:$B,2,FALSE),"")</f>
        <v/>
      </c>
      <c r="C95" s="2" t="inlineStr">
        <is>
          <t>Fall 2025</t>
        </is>
      </c>
      <c r="D95" s="2" t="inlineStr">
        <is>
          <t>Semester 3</t>
        </is>
      </c>
      <c r="E95" s="2" t="inlineStr">
        <is>
          <t>DSC 640</t>
        </is>
      </c>
      <c r="F95" s="2">
        <f>IFERROR(VLOOKUP(E95,Courses!$A:$C,2,FALSE),"")</f>
        <v/>
      </c>
      <c r="G95" s="2">
        <f>IFERROR(VLOOKUP(E95,Courses!$A:$C,3,FALSE),0)</f>
        <v/>
      </c>
      <c r="H95" s="2" t="inlineStr">
        <is>
          <t>A</t>
        </is>
      </c>
      <c r="I95" s="2" t="n">
        <v>93</v>
      </c>
      <c r="J95" s="2">
        <f>IFERROR(VLOOKUP(H95,'Grade Scale'!$A:$B,2,FALSE),0)</f>
        <v/>
      </c>
      <c r="K95" s="2">
        <f>J95*G95</f>
        <v/>
      </c>
      <c r="L95" s="2">
        <f>IF(H95="F",0,G95)</f>
        <v/>
      </c>
    </row>
    <row r="96">
      <c r="A96" s="2" t="inlineStr">
        <is>
          <t>m240105</t>
        </is>
      </c>
      <c r="B96" s="2">
        <f>IFERROR(VLOOKUP(A96,Students!$A:$B,2,FALSE),"")</f>
        <v/>
      </c>
      <c r="C96" s="2" t="inlineStr">
        <is>
          <t>Fall 2025</t>
        </is>
      </c>
      <c r="D96" s="2" t="inlineStr">
        <is>
          <t>Semester 3</t>
        </is>
      </c>
      <c r="E96" s="2" t="inlineStr">
        <is>
          <t>DSC 690</t>
        </is>
      </c>
      <c r="F96" s="2">
        <f>IFERROR(VLOOKUP(E96,Courses!$A:$C,2,FALSE),"")</f>
        <v/>
      </c>
      <c r="G96" s="2">
        <f>IFERROR(VLOOKUP(E96,Courses!$A:$C,3,FALSE),0)</f>
        <v/>
      </c>
      <c r="H96" s="2" t="inlineStr">
        <is>
          <t>A</t>
        </is>
      </c>
      <c r="I96" s="2" t="n">
        <v>97</v>
      </c>
      <c r="J96" s="2">
        <f>IFERROR(VLOOKUP(H96,'Grade Scale'!$A:$B,2,FALSE),0)</f>
        <v/>
      </c>
      <c r="K96" s="2">
        <f>J96*G96</f>
        <v/>
      </c>
      <c r="L96" s="2">
        <f>IF(H96="F",0,G96)</f>
        <v/>
      </c>
    </row>
    <row r="97">
      <c r="A97" s="2" t="inlineStr">
        <is>
          <t>m240105</t>
        </is>
      </c>
      <c r="B97" s="2">
        <f>IFERROR(VLOOKUP(A97,Students!$A:$B,2,FALSE),"")</f>
        <v/>
      </c>
      <c r="C97" s="2" t="inlineStr">
        <is>
          <t>Spring 2026</t>
        </is>
      </c>
      <c r="D97" s="2" t="inlineStr">
        <is>
          <t>Semester 4</t>
        </is>
      </c>
      <c r="E97" s="2" t="inlineStr">
        <is>
          <t>DSC 650</t>
        </is>
      </c>
      <c r="F97" s="2">
        <f>IFERROR(VLOOKUP(E97,Courses!$A:$C,2,FALSE),"")</f>
        <v/>
      </c>
      <c r="G97" s="2">
        <f>IFERROR(VLOOKUP(E97,Courses!$A:$C,3,FALSE),0)</f>
        <v/>
      </c>
      <c r="H97" s="2" t="inlineStr">
        <is>
          <t>B+</t>
        </is>
      </c>
      <c r="I97" s="2" t="n">
        <v>87</v>
      </c>
      <c r="J97" s="2">
        <f>IFERROR(VLOOKUP(H97,'Grade Scale'!$A:$B,2,FALSE),0)</f>
        <v/>
      </c>
      <c r="K97" s="2">
        <f>J97*G97</f>
        <v/>
      </c>
      <c r="L97" s="2">
        <f>IF(H97="F",0,G97)</f>
        <v/>
      </c>
    </row>
    <row r="98">
      <c r="A98" s="2" t="inlineStr">
        <is>
          <t>m240105</t>
        </is>
      </c>
      <c r="B98" s="2">
        <f>IFERROR(VLOOKUP(A98,Students!$A:$B,2,FALSE),"")</f>
        <v/>
      </c>
      <c r="C98" s="2" t="inlineStr">
        <is>
          <t>Spring 2026</t>
        </is>
      </c>
      <c r="D98" s="2" t="inlineStr">
        <is>
          <t>Semester 4</t>
        </is>
      </c>
      <c r="E98" s="2" t="inlineStr">
        <is>
          <t>DSC 660</t>
        </is>
      </c>
      <c r="F98" s="2">
        <f>IFERROR(VLOOKUP(E98,Courses!$A:$C,2,FALSE),"")</f>
        <v/>
      </c>
      <c r="G98" s="2">
        <f>IFERROR(VLOOKUP(E98,Courses!$A:$C,3,FALSE),0)</f>
        <v/>
      </c>
      <c r="H98" s="2" t="inlineStr">
        <is>
          <t>A</t>
        </is>
      </c>
      <c r="I98" s="2" t="n">
        <v>100</v>
      </c>
      <c r="J98" s="2">
        <f>IFERROR(VLOOKUP(H98,'Grade Scale'!$A:$B,2,FALSE),0)</f>
        <v/>
      </c>
      <c r="K98" s="2">
        <f>J98*G98</f>
        <v/>
      </c>
      <c r="L98" s="2">
        <f>IF(H98="F",0,G98)</f>
        <v/>
      </c>
    </row>
    <row r="99">
      <c r="A99" s="2" t="inlineStr">
        <is>
          <t>m240105</t>
        </is>
      </c>
      <c r="B99" s="2">
        <f>IFERROR(VLOOKUP(A99,Students!$A:$B,2,FALSE),"")</f>
        <v/>
      </c>
      <c r="C99" s="2" t="inlineStr">
        <is>
          <t>Spring 2026</t>
        </is>
      </c>
      <c r="D99" s="2" t="inlineStr">
        <is>
          <t>Semester 4</t>
        </is>
      </c>
      <c r="E99" s="2" t="inlineStr">
        <is>
          <t>DSC 670</t>
        </is>
      </c>
      <c r="F99" s="2">
        <f>IFERROR(VLOOKUP(E99,Courses!$A:$C,2,FALSE),"")</f>
        <v/>
      </c>
      <c r="G99" s="2">
        <f>IFERROR(VLOOKUP(E99,Courses!$A:$C,3,FALSE),0)</f>
        <v/>
      </c>
      <c r="H99" s="2" t="inlineStr">
        <is>
          <t>B+</t>
        </is>
      </c>
      <c r="I99" s="2" t="n">
        <v>88</v>
      </c>
      <c r="J99" s="2">
        <f>IFERROR(VLOOKUP(H99,'Grade Scale'!$A:$B,2,FALSE),0)</f>
        <v/>
      </c>
      <c r="K99" s="2">
        <f>J99*G99</f>
        <v/>
      </c>
      <c r="L99" s="2">
        <f>IF(H99="F",0,G99)</f>
        <v/>
      </c>
    </row>
    <row r="100">
      <c r="A100" s="2" t="inlineStr">
        <is>
          <t>m240105</t>
        </is>
      </c>
      <c r="B100" s="2">
        <f>IFERROR(VLOOKUP(A100,Students!$A:$B,2,FALSE),"")</f>
        <v/>
      </c>
      <c r="C100" s="2" t="inlineStr">
        <is>
          <t>Spring 2026</t>
        </is>
      </c>
      <c r="D100" s="2" t="inlineStr">
        <is>
          <t>Semester 4</t>
        </is>
      </c>
      <c r="E100" s="2" t="inlineStr">
        <is>
          <t>DSC 680</t>
        </is>
      </c>
      <c r="F100" s="2">
        <f>IFERROR(VLOOKUP(E100,Courses!$A:$C,2,FALSE),"")</f>
        <v/>
      </c>
      <c r="G100" s="2">
        <f>IFERROR(VLOOKUP(E100,Courses!$A:$C,3,FALSE),0)</f>
        <v/>
      </c>
      <c r="H100" s="2" t="inlineStr">
        <is>
          <t>B+</t>
        </is>
      </c>
      <c r="I100" s="2" t="n">
        <v>89</v>
      </c>
      <c r="J100" s="2">
        <f>IFERROR(VLOOKUP(H100,'Grade Scale'!$A:$B,2,FALSE),0)</f>
        <v/>
      </c>
      <c r="K100" s="2">
        <f>J100*G100</f>
        <v/>
      </c>
      <c r="L100" s="2">
        <f>IF(H100="F",0,G100)</f>
        <v/>
      </c>
    </row>
    <row r="101">
      <c r="A101" s="2" t="inlineStr">
        <is>
          <t>m240105</t>
        </is>
      </c>
      <c r="B101" s="2">
        <f>IFERROR(VLOOKUP(A101,Students!$A:$B,2,FALSE),"")</f>
        <v/>
      </c>
      <c r="C101" s="2" t="inlineStr">
        <is>
          <t>Spring 2026</t>
        </is>
      </c>
      <c r="D101" s="2" t="inlineStr">
        <is>
          <t>Semester 4</t>
        </is>
      </c>
      <c r="E101" s="2" t="inlineStr">
        <is>
          <t>DSC 699</t>
        </is>
      </c>
      <c r="F101" s="2">
        <f>IFERROR(VLOOKUP(E101,Courses!$A:$C,2,FALSE),"")</f>
        <v/>
      </c>
      <c r="G101" s="2">
        <f>IFERROR(VLOOKUP(E101,Courses!$A:$C,3,FALSE),0)</f>
        <v/>
      </c>
      <c r="H101" s="2" t="inlineStr">
        <is>
          <t>A</t>
        </is>
      </c>
      <c r="I101" s="2" t="n">
        <v>100</v>
      </c>
      <c r="J101" s="2">
        <f>IFERROR(VLOOKUP(H101,'Grade Scale'!$A:$B,2,FALSE),0)</f>
        <v/>
      </c>
      <c r="K101" s="2">
        <f>J101*G101</f>
        <v/>
      </c>
      <c r="L101" s="2">
        <f>IF(H101="F",0,G101)</f>
        <v/>
      </c>
    </row>
    <row r="102">
      <c r="A102" s="2" t="inlineStr">
        <is>
          <t>m240106</t>
        </is>
      </c>
      <c r="B102" s="2">
        <f>IFERROR(VLOOKUP(A102,Students!$A:$B,2,FALSE),"")</f>
        <v/>
      </c>
      <c r="C102" s="2" t="inlineStr">
        <is>
          <t>Fall 2024</t>
        </is>
      </c>
      <c r="D102" s="2" t="inlineStr">
        <is>
          <t>Semester 1</t>
        </is>
      </c>
      <c r="E102" s="2" t="inlineStr">
        <is>
          <t>ECO 101</t>
        </is>
      </c>
      <c r="F102" s="2">
        <f>IFERROR(VLOOKUP(E102,Courses!$A:$C,2,FALSE),"")</f>
        <v/>
      </c>
      <c r="G102" s="2">
        <f>IFERROR(VLOOKUP(E102,Courses!$A:$C,3,FALSE),0)</f>
        <v/>
      </c>
      <c r="H102" s="2" t="inlineStr">
        <is>
          <t>B-</t>
        </is>
      </c>
      <c r="I102" s="2" t="n">
        <v>81</v>
      </c>
      <c r="J102" s="2">
        <f>IFERROR(VLOOKUP(H102,'Grade Scale'!$A:$B,2,FALSE),0)</f>
        <v/>
      </c>
      <c r="K102" s="2">
        <f>J102*G102</f>
        <v/>
      </c>
      <c r="L102" s="2">
        <f>IF(H102="F",0,G102)</f>
        <v/>
      </c>
    </row>
    <row r="103">
      <c r="A103" s="2" t="inlineStr">
        <is>
          <t>m240106</t>
        </is>
      </c>
      <c r="B103" s="2">
        <f>IFERROR(VLOOKUP(A103,Students!$A:$B,2,FALSE),"")</f>
        <v/>
      </c>
      <c r="C103" s="2" t="inlineStr">
        <is>
          <t>Fall 2024</t>
        </is>
      </c>
      <c r="D103" s="2" t="inlineStr">
        <is>
          <t>Semester 1</t>
        </is>
      </c>
      <c r="E103" s="2" t="inlineStr">
        <is>
          <t>ACC 101</t>
        </is>
      </c>
      <c r="F103" s="2">
        <f>IFERROR(VLOOKUP(E103,Courses!$A:$C,2,FALSE),"")</f>
        <v/>
      </c>
      <c r="G103" s="2">
        <f>IFERROR(VLOOKUP(E103,Courses!$A:$C,3,FALSE),0)</f>
        <v/>
      </c>
      <c r="H103" s="2" t="inlineStr">
        <is>
          <t>C+</t>
        </is>
      </c>
      <c r="I103" s="2" t="n">
        <v>79</v>
      </c>
      <c r="J103" s="2">
        <f>IFERROR(VLOOKUP(H103,'Grade Scale'!$A:$B,2,FALSE),0)</f>
        <v/>
      </c>
      <c r="K103" s="2">
        <f>J103*G103</f>
        <v/>
      </c>
      <c r="L103" s="2">
        <f>IF(H103="F",0,G103)</f>
        <v/>
      </c>
    </row>
    <row r="104">
      <c r="A104" s="2" t="inlineStr">
        <is>
          <t>m240106</t>
        </is>
      </c>
      <c r="B104" s="2">
        <f>IFERROR(VLOOKUP(A104,Students!$A:$B,2,FALSE),"")</f>
        <v/>
      </c>
      <c r="C104" s="2" t="inlineStr">
        <is>
          <t>Fall 2024</t>
        </is>
      </c>
      <c r="D104" s="2" t="inlineStr">
        <is>
          <t>Semester 1</t>
        </is>
      </c>
      <c r="E104" s="2" t="inlineStr">
        <is>
          <t>MTH 105</t>
        </is>
      </c>
      <c r="F104" s="2">
        <f>IFERROR(VLOOKUP(E104,Courses!$A:$C,2,FALSE),"")</f>
        <v/>
      </c>
      <c r="G104" s="2">
        <f>IFERROR(VLOOKUP(E104,Courses!$A:$C,3,FALSE),0)</f>
        <v/>
      </c>
      <c r="H104" s="2" t="inlineStr">
        <is>
          <t>C</t>
        </is>
      </c>
      <c r="I104" s="2" t="n">
        <v>76</v>
      </c>
      <c r="J104" s="2">
        <f>IFERROR(VLOOKUP(H104,'Grade Scale'!$A:$B,2,FALSE),0)</f>
        <v/>
      </c>
      <c r="K104" s="2">
        <f>J104*G104</f>
        <v/>
      </c>
      <c r="L104" s="2">
        <f>IF(H104="F",0,G104)</f>
        <v/>
      </c>
    </row>
    <row r="105">
      <c r="A105" s="2" t="inlineStr">
        <is>
          <t>m240106</t>
        </is>
      </c>
      <c r="B105" s="2">
        <f>IFERROR(VLOOKUP(A105,Students!$A:$B,2,FALSE),"")</f>
        <v/>
      </c>
      <c r="C105" s="2" t="inlineStr">
        <is>
          <t>Fall 2024</t>
        </is>
      </c>
      <c r="D105" s="2" t="inlineStr">
        <is>
          <t>Semester 1</t>
        </is>
      </c>
      <c r="E105" s="2" t="inlineStr">
        <is>
          <t>ENG 101</t>
        </is>
      </c>
      <c r="F105" s="2">
        <f>IFERROR(VLOOKUP(E105,Courses!$A:$C,2,FALSE),"")</f>
        <v/>
      </c>
      <c r="G105" s="2">
        <f>IFERROR(VLOOKUP(E105,Courses!$A:$C,3,FALSE),0)</f>
        <v/>
      </c>
      <c r="H105" s="2" t="inlineStr">
        <is>
          <t>D+</t>
        </is>
      </c>
      <c r="I105" s="2" t="n">
        <v>67</v>
      </c>
      <c r="J105" s="2">
        <f>IFERROR(VLOOKUP(H105,'Grade Scale'!$A:$B,2,FALSE),0)</f>
        <v/>
      </c>
      <c r="K105" s="2">
        <f>J105*G105</f>
        <v/>
      </c>
      <c r="L105" s="2">
        <f>IF(H105="F",0,G105)</f>
        <v/>
      </c>
    </row>
    <row r="106">
      <c r="A106" s="2" t="inlineStr">
        <is>
          <t>m240106</t>
        </is>
      </c>
      <c r="B106" s="2">
        <f>IFERROR(VLOOKUP(A106,Students!$A:$B,2,FALSE),"")</f>
        <v/>
      </c>
      <c r="C106" s="2" t="inlineStr">
        <is>
          <t>Fall 2024</t>
        </is>
      </c>
      <c r="D106" s="2" t="inlineStr">
        <is>
          <t>Semester 1</t>
        </is>
      </c>
      <c r="E106" s="2" t="inlineStr">
        <is>
          <t>FIN 100</t>
        </is>
      </c>
      <c r="F106" s="2">
        <f>IFERROR(VLOOKUP(E106,Courses!$A:$C,2,FALSE),"")</f>
        <v/>
      </c>
      <c r="G106" s="2">
        <f>IFERROR(VLOOKUP(E106,Courses!$A:$C,3,FALSE),0)</f>
        <v/>
      </c>
      <c r="H106" s="2" t="inlineStr">
        <is>
          <t>F</t>
        </is>
      </c>
      <c r="I106" s="2" t="n">
        <v>59</v>
      </c>
      <c r="J106" s="2">
        <f>IFERROR(VLOOKUP(H106,'Grade Scale'!$A:$B,2,FALSE),0)</f>
        <v/>
      </c>
      <c r="K106" s="2">
        <f>J106*G106</f>
        <v/>
      </c>
      <c r="L106" s="2">
        <f>IF(H106="F",0,G106)</f>
        <v/>
      </c>
    </row>
    <row r="107">
      <c r="A107" s="2" t="inlineStr">
        <is>
          <t>m240106</t>
        </is>
      </c>
      <c r="B107" s="2">
        <f>IFERROR(VLOOKUP(A107,Students!$A:$B,2,FALSE),"")</f>
        <v/>
      </c>
      <c r="C107" s="2" t="inlineStr">
        <is>
          <t>Spring 2025</t>
        </is>
      </c>
      <c r="D107" s="2" t="inlineStr">
        <is>
          <t>Semester 2</t>
        </is>
      </c>
      <c r="E107" s="2" t="inlineStr">
        <is>
          <t>ECO 102</t>
        </is>
      </c>
      <c r="F107" s="2">
        <f>IFERROR(VLOOKUP(E107,Courses!$A:$C,2,FALSE),"")</f>
        <v/>
      </c>
      <c r="G107" s="2">
        <f>IFERROR(VLOOKUP(E107,Courses!$A:$C,3,FALSE),0)</f>
        <v/>
      </c>
      <c r="H107" s="2" t="inlineStr">
        <is>
          <t>C+</t>
        </is>
      </c>
      <c r="I107" s="2" t="n">
        <v>79</v>
      </c>
      <c r="J107" s="2">
        <f>IFERROR(VLOOKUP(H107,'Grade Scale'!$A:$B,2,FALSE),0)</f>
        <v/>
      </c>
      <c r="K107" s="2">
        <f>J107*G107</f>
        <v/>
      </c>
      <c r="L107" s="2">
        <f>IF(H107="F",0,G107)</f>
        <v/>
      </c>
    </row>
    <row r="108">
      <c r="A108" s="2" t="inlineStr">
        <is>
          <t>m240106</t>
        </is>
      </c>
      <c r="B108" s="2">
        <f>IFERROR(VLOOKUP(A108,Students!$A:$B,2,FALSE),"")</f>
        <v/>
      </c>
      <c r="C108" s="2" t="inlineStr">
        <is>
          <t>Spring 2025</t>
        </is>
      </c>
      <c r="D108" s="2" t="inlineStr">
        <is>
          <t>Semester 2</t>
        </is>
      </c>
      <c r="E108" s="2" t="inlineStr">
        <is>
          <t>ACC 102</t>
        </is>
      </c>
      <c r="F108" s="2">
        <f>IFERROR(VLOOKUP(E108,Courses!$A:$C,2,FALSE),"")</f>
        <v/>
      </c>
      <c r="G108" s="2">
        <f>IFERROR(VLOOKUP(E108,Courses!$A:$C,3,FALSE),0)</f>
        <v/>
      </c>
      <c r="H108" s="2" t="inlineStr">
        <is>
          <t>B</t>
        </is>
      </c>
      <c r="I108" s="2" t="n">
        <v>85</v>
      </c>
      <c r="J108" s="2">
        <f>IFERROR(VLOOKUP(H108,'Grade Scale'!$A:$B,2,FALSE),0)</f>
        <v/>
      </c>
      <c r="K108" s="2">
        <f>J108*G108</f>
        <v/>
      </c>
      <c r="L108" s="2">
        <f>IF(H108="F",0,G108)</f>
        <v/>
      </c>
    </row>
    <row r="109">
      <c r="A109" s="2" t="inlineStr">
        <is>
          <t>m240106</t>
        </is>
      </c>
      <c r="B109" s="2">
        <f>IFERROR(VLOOKUP(A109,Students!$A:$B,2,FALSE),"")</f>
        <v/>
      </c>
      <c r="C109" s="2" t="inlineStr">
        <is>
          <t>Spring 2025</t>
        </is>
      </c>
      <c r="D109" s="2" t="inlineStr">
        <is>
          <t>Semester 2</t>
        </is>
      </c>
      <c r="E109" s="2" t="inlineStr">
        <is>
          <t>STA 110</t>
        </is>
      </c>
      <c r="F109" s="2">
        <f>IFERROR(VLOOKUP(E109,Courses!$A:$C,2,FALSE),"")</f>
        <v/>
      </c>
      <c r="G109" s="2">
        <f>IFERROR(VLOOKUP(E109,Courses!$A:$C,3,FALSE),0)</f>
        <v/>
      </c>
      <c r="H109" s="2" t="inlineStr">
        <is>
          <t>C-</t>
        </is>
      </c>
      <c r="I109" s="2" t="n">
        <v>72</v>
      </c>
      <c r="J109" s="2">
        <f>IFERROR(VLOOKUP(H109,'Grade Scale'!$A:$B,2,FALSE),0)</f>
        <v/>
      </c>
      <c r="K109" s="2">
        <f>J109*G109</f>
        <v/>
      </c>
      <c r="L109" s="2">
        <f>IF(H109="F",0,G109)</f>
        <v/>
      </c>
    </row>
    <row r="110">
      <c r="A110" s="2" t="inlineStr">
        <is>
          <t>m240106</t>
        </is>
      </c>
      <c r="B110" s="2">
        <f>IFERROR(VLOOKUP(A110,Students!$A:$B,2,FALSE),"")</f>
        <v/>
      </c>
      <c r="C110" s="2" t="inlineStr">
        <is>
          <t>Spring 2025</t>
        </is>
      </c>
      <c r="D110" s="2" t="inlineStr">
        <is>
          <t>Semester 2</t>
        </is>
      </c>
      <c r="E110" s="2" t="inlineStr">
        <is>
          <t>ENG 102</t>
        </is>
      </c>
      <c r="F110" s="2">
        <f>IFERROR(VLOOKUP(E110,Courses!$A:$C,2,FALSE),"")</f>
        <v/>
      </c>
      <c r="G110" s="2">
        <f>IFERROR(VLOOKUP(E110,Courses!$A:$C,3,FALSE),0)</f>
        <v/>
      </c>
      <c r="H110" s="2" t="inlineStr">
        <is>
          <t>C-</t>
        </is>
      </c>
      <c r="I110" s="2" t="n">
        <v>72</v>
      </c>
      <c r="J110" s="2">
        <f>IFERROR(VLOOKUP(H110,'Grade Scale'!$A:$B,2,FALSE),0)</f>
        <v/>
      </c>
      <c r="K110" s="2">
        <f>J110*G110</f>
        <v/>
      </c>
      <c r="L110" s="2">
        <f>IF(H110="F",0,G110)</f>
        <v/>
      </c>
    </row>
    <row r="111">
      <c r="A111" s="2" t="inlineStr">
        <is>
          <t>m240106</t>
        </is>
      </c>
      <c r="B111" s="2">
        <f>IFERROR(VLOOKUP(A111,Students!$A:$B,2,FALSE),"")</f>
        <v/>
      </c>
      <c r="C111" s="2" t="inlineStr">
        <is>
          <t>Spring 2025</t>
        </is>
      </c>
      <c r="D111" s="2" t="inlineStr">
        <is>
          <t>Semester 2</t>
        </is>
      </c>
      <c r="E111" s="2" t="inlineStr">
        <is>
          <t>FIN 150</t>
        </is>
      </c>
      <c r="F111" s="2">
        <f>IFERROR(VLOOKUP(E111,Courses!$A:$C,2,FALSE),"")</f>
        <v/>
      </c>
      <c r="G111" s="2">
        <f>IFERROR(VLOOKUP(E111,Courses!$A:$C,3,FALSE),0)</f>
        <v/>
      </c>
      <c r="H111" s="2" t="inlineStr">
        <is>
          <t>C</t>
        </is>
      </c>
      <c r="I111" s="2" t="n">
        <v>74</v>
      </c>
      <c r="J111" s="2">
        <f>IFERROR(VLOOKUP(H111,'Grade Scale'!$A:$B,2,FALSE),0)</f>
        <v/>
      </c>
      <c r="K111" s="2">
        <f>J111*G111</f>
        <v/>
      </c>
      <c r="L111" s="2">
        <f>IF(H111="F",0,G111)</f>
        <v/>
      </c>
    </row>
    <row r="112">
      <c r="A112" s="2" t="inlineStr">
        <is>
          <t>m240107</t>
        </is>
      </c>
      <c r="B112" s="2">
        <f>IFERROR(VLOOKUP(A112,Students!$A:$B,2,FALSE),"")</f>
        <v/>
      </c>
      <c r="C112" s="2" t="inlineStr">
        <is>
          <t>Fall 2024</t>
        </is>
      </c>
      <c r="D112" s="2" t="inlineStr">
        <is>
          <t>Semester 1</t>
        </is>
      </c>
      <c r="E112" s="2" t="inlineStr">
        <is>
          <t>IRL 501</t>
        </is>
      </c>
      <c r="F112" s="2">
        <f>IFERROR(VLOOKUP(E112,Courses!$A:$C,2,FALSE),"")</f>
        <v/>
      </c>
      <c r="G112" s="2">
        <f>IFERROR(VLOOKUP(E112,Courses!$A:$C,3,FALSE),0)</f>
        <v/>
      </c>
      <c r="H112" s="2" t="inlineStr">
        <is>
          <t>B+</t>
        </is>
      </c>
      <c r="I112" s="2" t="n">
        <v>87</v>
      </c>
      <c r="J112" s="2">
        <f>IFERROR(VLOOKUP(H112,'Grade Scale'!$A:$B,2,FALSE),0)</f>
        <v/>
      </c>
      <c r="K112" s="2">
        <f>J112*G112</f>
        <v/>
      </c>
      <c r="L112" s="2">
        <f>IF(H112="F",0,G112)</f>
        <v/>
      </c>
    </row>
    <row r="113">
      <c r="A113" s="2" t="inlineStr">
        <is>
          <t>m240107</t>
        </is>
      </c>
      <c r="B113" s="2">
        <f>IFERROR(VLOOKUP(A113,Students!$A:$B,2,FALSE),"")</f>
        <v/>
      </c>
      <c r="C113" s="2" t="inlineStr">
        <is>
          <t>Fall 2024</t>
        </is>
      </c>
      <c r="D113" s="2" t="inlineStr">
        <is>
          <t>Semester 1</t>
        </is>
      </c>
      <c r="E113" s="2" t="inlineStr">
        <is>
          <t>IRL 510</t>
        </is>
      </c>
      <c r="F113" s="2">
        <f>IFERROR(VLOOKUP(E113,Courses!$A:$C,2,FALSE),"")</f>
        <v/>
      </c>
      <c r="G113" s="2">
        <f>IFERROR(VLOOKUP(E113,Courses!$A:$C,3,FALSE),0)</f>
        <v/>
      </c>
      <c r="H113" s="2" t="inlineStr">
        <is>
          <t>A</t>
        </is>
      </c>
      <c r="I113" s="2" t="n">
        <v>95</v>
      </c>
      <c r="J113" s="2">
        <f>IFERROR(VLOOKUP(H113,'Grade Scale'!$A:$B,2,FALSE),0)</f>
        <v/>
      </c>
      <c r="K113" s="2">
        <f>J113*G113</f>
        <v/>
      </c>
      <c r="L113" s="2">
        <f>IF(H113="F",0,G113)</f>
        <v/>
      </c>
    </row>
    <row r="114">
      <c r="A114" s="2" t="inlineStr">
        <is>
          <t>m240107</t>
        </is>
      </c>
      <c r="B114" s="2">
        <f>IFERROR(VLOOKUP(A114,Students!$A:$B,2,FALSE),"")</f>
        <v/>
      </c>
      <c r="C114" s="2" t="inlineStr">
        <is>
          <t>Fall 2024</t>
        </is>
      </c>
      <c r="D114" s="2" t="inlineStr">
        <is>
          <t>Semester 1</t>
        </is>
      </c>
      <c r="E114" s="2" t="inlineStr">
        <is>
          <t>IRL 520</t>
        </is>
      </c>
      <c r="F114" s="2">
        <f>IFERROR(VLOOKUP(E114,Courses!$A:$C,2,FALSE),"")</f>
        <v/>
      </c>
      <c r="G114" s="2">
        <f>IFERROR(VLOOKUP(E114,Courses!$A:$C,3,FALSE),0)</f>
        <v/>
      </c>
      <c r="H114" s="2" t="inlineStr">
        <is>
          <t>A</t>
        </is>
      </c>
      <c r="I114" s="2" t="n">
        <v>96</v>
      </c>
      <c r="J114" s="2">
        <f>IFERROR(VLOOKUP(H114,'Grade Scale'!$A:$B,2,FALSE),0)</f>
        <v/>
      </c>
      <c r="K114" s="2">
        <f>J114*G114</f>
        <v/>
      </c>
      <c r="L114" s="2">
        <f>IF(H114="F",0,G114)</f>
        <v/>
      </c>
    </row>
    <row r="115">
      <c r="A115" s="2" t="inlineStr">
        <is>
          <t>m240107</t>
        </is>
      </c>
      <c r="B115" s="2">
        <f>IFERROR(VLOOKUP(A115,Students!$A:$B,2,FALSE),"")</f>
        <v/>
      </c>
      <c r="C115" s="2" t="inlineStr">
        <is>
          <t>Fall 2024</t>
        </is>
      </c>
      <c r="D115" s="2" t="inlineStr">
        <is>
          <t>Semester 1</t>
        </is>
      </c>
      <c r="E115" s="2" t="inlineStr">
        <is>
          <t>IRL 530</t>
        </is>
      </c>
      <c r="F115" s="2">
        <f>IFERROR(VLOOKUP(E115,Courses!$A:$C,2,FALSE),"")</f>
        <v/>
      </c>
      <c r="G115" s="2">
        <f>IFERROR(VLOOKUP(E115,Courses!$A:$C,3,FALSE),0)</f>
        <v/>
      </c>
      <c r="H115" s="2" t="inlineStr">
        <is>
          <t>A</t>
        </is>
      </c>
      <c r="I115" s="2" t="n">
        <v>94</v>
      </c>
      <c r="J115" s="2">
        <f>IFERROR(VLOOKUP(H115,'Grade Scale'!$A:$B,2,FALSE),0)</f>
        <v/>
      </c>
      <c r="K115" s="2">
        <f>J115*G115</f>
        <v/>
      </c>
      <c r="L115" s="2">
        <f>IF(H115="F",0,G115)</f>
        <v/>
      </c>
    </row>
    <row r="116">
      <c r="A116" s="2" t="inlineStr">
        <is>
          <t>m240107</t>
        </is>
      </c>
      <c r="B116" s="2">
        <f>IFERROR(VLOOKUP(A116,Students!$A:$B,2,FALSE),"")</f>
        <v/>
      </c>
      <c r="C116" s="2" t="inlineStr">
        <is>
          <t>Fall 2024</t>
        </is>
      </c>
      <c r="D116" s="2" t="inlineStr">
        <is>
          <t>Semester 1</t>
        </is>
      </c>
      <c r="E116" s="2" t="inlineStr">
        <is>
          <t>IRL 540</t>
        </is>
      </c>
      <c r="F116" s="2">
        <f>IFERROR(VLOOKUP(E116,Courses!$A:$C,2,FALSE),"")</f>
        <v/>
      </c>
      <c r="G116" s="2">
        <f>IFERROR(VLOOKUP(E116,Courses!$A:$C,3,FALSE),0)</f>
        <v/>
      </c>
      <c r="H116" s="2" t="inlineStr">
        <is>
          <t>B-</t>
        </is>
      </c>
      <c r="I116" s="2" t="n">
        <v>82</v>
      </c>
      <c r="J116" s="2">
        <f>IFERROR(VLOOKUP(H116,'Grade Scale'!$A:$B,2,FALSE),0)</f>
        <v/>
      </c>
      <c r="K116" s="2">
        <f>J116*G116</f>
        <v/>
      </c>
      <c r="L116" s="2">
        <f>IF(H116="F",0,G116)</f>
        <v/>
      </c>
    </row>
    <row r="117">
      <c r="A117" s="2" t="inlineStr">
        <is>
          <t>m240107</t>
        </is>
      </c>
      <c r="B117" s="2">
        <f>IFERROR(VLOOKUP(A117,Students!$A:$B,2,FALSE),"")</f>
        <v/>
      </c>
      <c r="C117" s="2" t="inlineStr">
        <is>
          <t>Spring 2025</t>
        </is>
      </c>
      <c r="D117" s="2" t="inlineStr">
        <is>
          <t>Semester 2</t>
        </is>
      </c>
      <c r="E117" s="2" t="inlineStr">
        <is>
          <t>IRL 550</t>
        </is>
      </c>
      <c r="F117" s="2">
        <f>IFERROR(VLOOKUP(E117,Courses!$A:$C,2,FALSE),"")</f>
        <v/>
      </c>
      <c r="G117" s="2">
        <f>IFERROR(VLOOKUP(E117,Courses!$A:$C,3,FALSE),0)</f>
        <v/>
      </c>
      <c r="H117" s="2" t="inlineStr">
        <is>
          <t>A-</t>
        </is>
      </c>
      <c r="I117" s="2" t="n">
        <v>91</v>
      </c>
      <c r="J117" s="2">
        <f>IFERROR(VLOOKUP(H117,'Grade Scale'!$A:$B,2,FALSE),0)</f>
        <v/>
      </c>
      <c r="K117" s="2">
        <f>J117*G117</f>
        <v/>
      </c>
      <c r="L117" s="2">
        <f>IF(H117="F",0,G117)</f>
        <v/>
      </c>
    </row>
    <row r="118">
      <c r="A118" s="2" t="inlineStr">
        <is>
          <t>m240107</t>
        </is>
      </c>
      <c r="B118" s="2">
        <f>IFERROR(VLOOKUP(A118,Students!$A:$B,2,FALSE),"")</f>
        <v/>
      </c>
      <c r="C118" s="2" t="inlineStr">
        <is>
          <t>Spring 2025</t>
        </is>
      </c>
      <c r="D118" s="2" t="inlineStr">
        <is>
          <t>Semester 2</t>
        </is>
      </c>
      <c r="E118" s="2" t="inlineStr">
        <is>
          <t>IRL 560</t>
        </is>
      </c>
      <c r="F118" s="2">
        <f>IFERROR(VLOOKUP(E118,Courses!$A:$C,2,FALSE),"")</f>
        <v/>
      </c>
      <c r="G118" s="2">
        <f>IFERROR(VLOOKUP(E118,Courses!$A:$C,3,FALSE),0)</f>
        <v/>
      </c>
      <c r="H118" s="2" t="inlineStr">
        <is>
          <t>B+</t>
        </is>
      </c>
      <c r="I118" s="2" t="n">
        <v>88</v>
      </c>
      <c r="J118" s="2">
        <f>IFERROR(VLOOKUP(H118,'Grade Scale'!$A:$B,2,FALSE),0)</f>
        <v/>
      </c>
      <c r="K118" s="2">
        <f>J118*G118</f>
        <v/>
      </c>
      <c r="L118" s="2">
        <f>IF(H118="F",0,G118)</f>
        <v/>
      </c>
    </row>
    <row r="119">
      <c r="A119" s="2" t="inlineStr">
        <is>
          <t>m240107</t>
        </is>
      </c>
      <c r="B119" s="2">
        <f>IFERROR(VLOOKUP(A119,Students!$A:$B,2,FALSE),"")</f>
        <v/>
      </c>
      <c r="C119" s="2" t="inlineStr">
        <is>
          <t>Spring 2025</t>
        </is>
      </c>
      <c r="D119" s="2" t="inlineStr">
        <is>
          <t>Semester 2</t>
        </is>
      </c>
      <c r="E119" s="2" t="inlineStr">
        <is>
          <t>IRL 570</t>
        </is>
      </c>
      <c r="F119" s="2">
        <f>IFERROR(VLOOKUP(E119,Courses!$A:$C,2,FALSE),"")</f>
        <v/>
      </c>
      <c r="G119" s="2">
        <f>IFERROR(VLOOKUP(E119,Courses!$A:$C,3,FALSE),0)</f>
        <v/>
      </c>
      <c r="H119" s="2" t="inlineStr">
        <is>
          <t>B+</t>
        </is>
      </c>
      <c r="I119" s="2" t="n">
        <v>88</v>
      </c>
      <c r="J119" s="2">
        <f>IFERROR(VLOOKUP(H119,'Grade Scale'!$A:$B,2,FALSE),0)</f>
        <v/>
      </c>
      <c r="K119" s="2">
        <f>J119*G119</f>
        <v/>
      </c>
      <c r="L119" s="2">
        <f>IF(H119="F",0,G119)</f>
        <v/>
      </c>
    </row>
    <row r="120">
      <c r="A120" s="2" t="inlineStr">
        <is>
          <t>m240107</t>
        </is>
      </c>
      <c r="B120" s="2">
        <f>IFERROR(VLOOKUP(A120,Students!$A:$B,2,FALSE),"")</f>
        <v/>
      </c>
      <c r="C120" s="2" t="inlineStr">
        <is>
          <t>Spring 2025</t>
        </is>
      </c>
      <c r="D120" s="2" t="inlineStr">
        <is>
          <t>Semester 2</t>
        </is>
      </c>
      <c r="E120" s="2" t="inlineStr">
        <is>
          <t>IRL 580</t>
        </is>
      </c>
      <c r="F120" s="2">
        <f>IFERROR(VLOOKUP(E120,Courses!$A:$C,2,FALSE),"")</f>
        <v/>
      </c>
      <c r="G120" s="2">
        <f>IFERROR(VLOOKUP(E120,Courses!$A:$C,3,FALSE),0)</f>
        <v/>
      </c>
      <c r="H120" s="2" t="inlineStr">
        <is>
          <t>C</t>
        </is>
      </c>
      <c r="I120" s="2" t="n">
        <v>76</v>
      </c>
      <c r="J120" s="2">
        <f>IFERROR(VLOOKUP(H120,'Grade Scale'!$A:$B,2,FALSE),0)</f>
        <v/>
      </c>
      <c r="K120" s="2">
        <f>J120*G120</f>
        <v/>
      </c>
      <c r="L120" s="2">
        <f>IF(H120="F",0,G120)</f>
        <v/>
      </c>
    </row>
    <row r="121">
      <c r="A121" s="2" t="inlineStr">
        <is>
          <t>m240107</t>
        </is>
      </c>
      <c r="B121" s="2">
        <f>IFERROR(VLOOKUP(A121,Students!$A:$B,2,FALSE),"")</f>
        <v/>
      </c>
      <c r="C121" s="2" t="inlineStr">
        <is>
          <t>Spring 2025</t>
        </is>
      </c>
      <c r="D121" s="2" t="inlineStr">
        <is>
          <t>Semester 2</t>
        </is>
      </c>
      <c r="E121" s="2" t="inlineStr">
        <is>
          <t>IRL 590</t>
        </is>
      </c>
      <c r="F121" s="2">
        <f>IFERROR(VLOOKUP(E121,Courses!$A:$C,2,FALSE),"")</f>
        <v/>
      </c>
      <c r="G121" s="2">
        <f>IFERROR(VLOOKUP(E121,Courses!$A:$C,3,FALSE),0)</f>
        <v/>
      </c>
      <c r="H121" s="2" t="inlineStr">
        <is>
          <t>B-</t>
        </is>
      </c>
      <c r="I121" s="2" t="n">
        <v>81</v>
      </c>
      <c r="J121" s="2">
        <f>IFERROR(VLOOKUP(H121,'Grade Scale'!$A:$B,2,FALSE),0)</f>
        <v/>
      </c>
      <c r="K121" s="2">
        <f>J121*G121</f>
        <v/>
      </c>
      <c r="L121" s="2">
        <f>IF(H121="F",0,G121)</f>
        <v/>
      </c>
    </row>
    <row r="122">
      <c r="A122" s="2" t="inlineStr">
        <is>
          <t>m240107</t>
        </is>
      </c>
      <c r="B122" s="2">
        <f>IFERROR(VLOOKUP(A122,Students!$A:$B,2,FALSE),"")</f>
        <v/>
      </c>
      <c r="C122" s="2" t="inlineStr">
        <is>
          <t>Fall 2025</t>
        </is>
      </c>
      <c r="D122" s="2" t="inlineStr">
        <is>
          <t>Semester 3</t>
        </is>
      </c>
      <c r="E122" s="2" t="inlineStr">
        <is>
          <t>IRL 610</t>
        </is>
      </c>
      <c r="F122" s="2">
        <f>IFERROR(VLOOKUP(E122,Courses!$A:$C,2,FALSE),"")</f>
        <v/>
      </c>
      <c r="G122" s="2">
        <f>IFERROR(VLOOKUP(E122,Courses!$A:$C,3,FALSE),0)</f>
        <v/>
      </c>
      <c r="H122" s="2" t="inlineStr">
        <is>
          <t>A</t>
        </is>
      </c>
      <c r="I122" s="2" t="n">
        <v>97</v>
      </c>
      <c r="J122" s="2">
        <f>IFERROR(VLOOKUP(H122,'Grade Scale'!$A:$B,2,FALSE),0)</f>
        <v/>
      </c>
      <c r="K122" s="2">
        <f>J122*G122</f>
        <v/>
      </c>
      <c r="L122" s="2">
        <f>IF(H122="F",0,G122)</f>
        <v/>
      </c>
    </row>
    <row r="123">
      <c r="A123" s="2" t="inlineStr">
        <is>
          <t>m240107</t>
        </is>
      </c>
      <c r="B123" s="2">
        <f>IFERROR(VLOOKUP(A123,Students!$A:$B,2,FALSE),"")</f>
        <v/>
      </c>
      <c r="C123" s="2" t="inlineStr">
        <is>
          <t>Fall 2025</t>
        </is>
      </c>
      <c r="D123" s="2" t="inlineStr">
        <is>
          <t>Semester 3</t>
        </is>
      </c>
      <c r="E123" s="2" t="inlineStr">
        <is>
          <t>IRL 620</t>
        </is>
      </c>
      <c r="F123" s="2">
        <f>IFERROR(VLOOKUP(E123,Courses!$A:$C,2,FALSE),"")</f>
        <v/>
      </c>
      <c r="G123" s="2">
        <f>IFERROR(VLOOKUP(E123,Courses!$A:$C,3,FALSE),0)</f>
        <v/>
      </c>
      <c r="H123" s="2" t="inlineStr">
        <is>
          <t>A</t>
        </is>
      </c>
      <c r="I123" s="2" t="n">
        <v>93</v>
      </c>
      <c r="J123" s="2">
        <f>IFERROR(VLOOKUP(H123,'Grade Scale'!$A:$B,2,FALSE),0)</f>
        <v/>
      </c>
      <c r="K123" s="2">
        <f>J123*G123</f>
        <v/>
      </c>
      <c r="L123" s="2">
        <f>IF(H123="F",0,G123)</f>
        <v/>
      </c>
    </row>
    <row r="124">
      <c r="A124" s="2" t="inlineStr">
        <is>
          <t>m240107</t>
        </is>
      </c>
      <c r="B124" s="2">
        <f>IFERROR(VLOOKUP(A124,Students!$A:$B,2,FALSE),"")</f>
        <v/>
      </c>
      <c r="C124" s="2" t="inlineStr">
        <is>
          <t>Fall 2025</t>
        </is>
      </c>
      <c r="D124" s="2" t="inlineStr">
        <is>
          <t>Semester 3</t>
        </is>
      </c>
      <c r="E124" s="2" t="inlineStr">
        <is>
          <t>IRL 630</t>
        </is>
      </c>
      <c r="F124" s="2">
        <f>IFERROR(VLOOKUP(E124,Courses!$A:$C,2,FALSE),"")</f>
        <v/>
      </c>
      <c r="G124" s="2">
        <f>IFERROR(VLOOKUP(E124,Courses!$A:$C,3,FALSE),0)</f>
        <v/>
      </c>
      <c r="H124" s="2" t="inlineStr">
        <is>
          <t>B+</t>
        </is>
      </c>
      <c r="I124" s="2" t="n">
        <v>88</v>
      </c>
      <c r="J124" s="2">
        <f>IFERROR(VLOOKUP(H124,'Grade Scale'!$A:$B,2,FALSE),0)</f>
        <v/>
      </c>
      <c r="K124" s="2">
        <f>J124*G124</f>
        <v/>
      </c>
      <c r="L124" s="2">
        <f>IF(H124="F",0,G124)</f>
        <v/>
      </c>
    </row>
    <row r="125">
      <c r="A125" s="2" t="inlineStr">
        <is>
          <t>m240107</t>
        </is>
      </c>
      <c r="B125" s="2">
        <f>IFERROR(VLOOKUP(A125,Students!$A:$B,2,FALSE),"")</f>
        <v/>
      </c>
      <c r="C125" s="2" t="inlineStr">
        <is>
          <t>Fall 2025</t>
        </is>
      </c>
      <c r="D125" s="2" t="inlineStr">
        <is>
          <t>Semester 3</t>
        </is>
      </c>
      <c r="E125" s="2" t="inlineStr">
        <is>
          <t>IRL 640</t>
        </is>
      </c>
      <c r="F125" s="2">
        <f>IFERROR(VLOOKUP(E125,Courses!$A:$C,2,FALSE),"")</f>
        <v/>
      </c>
      <c r="G125" s="2">
        <f>IFERROR(VLOOKUP(E125,Courses!$A:$C,3,FALSE),0)</f>
        <v/>
      </c>
      <c r="H125" s="2" t="inlineStr">
        <is>
          <t>A</t>
        </is>
      </c>
      <c r="I125" s="2" t="n">
        <v>96</v>
      </c>
      <c r="J125" s="2">
        <f>IFERROR(VLOOKUP(H125,'Grade Scale'!$A:$B,2,FALSE),0)</f>
        <v/>
      </c>
      <c r="K125" s="2">
        <f>J125*G125</f>
        <v/>
      </c>
      <c r="L125" s="2">
        <f>IF(H125="F",0,G125)</f>
        <v/>
      </c>
    </row>
    <row r="126">
      <c r="A126" s="2" t="inlineStr">
        <is>
          <t>m240107</t>
        </is>
      </c>
      <c r="B126" s="2">
        <f>IFERROR(VLOOKUP(A126,Students!$A:$B,2,FALSE),"")</f>
        <v/>
      </c>
      <c r="C126" s="2" t="inlineStr">
        <is>
          <t>Fall 2025</t>
        </is>
      </c>
      <c r="D126" s="2" t="inlineStr">
        <is>
          <t>Semester 3</t>
        </is>
      </c>
      <c r="E126" s="2" t="inlineStr">
        <is>
          <t>IRL 690</t>
        </is>
      </c>
      <c r="F126" s="2">
        <f>IFERROR(VLOOKUP(E126,Courses!$A:$C,2,FALSE),"")</f>
        <v/>
      </c>
      <c r="G126" s="2">
        <f>IFERROR(VLOOKUP(E126,Courses!$A:$C,3,FALSE),0)</f>
        <v/>
      </c>
      <c r="H126" s="2" t="inlineStr">
        <is>
          <t>B+</t>
        </is>
      </c>
      <c r="I126" s="2" t="n">
        <v>88</v>
      </c>
      <c r="J126" s="2">
        <f>IFERROR(VLOOKUP(H126,'Grade Scale'!$A:$B,2,FALSE),0)</f>
        <v/>
      </c>
      <c r="K126" s="2">
        <f>J126*G126</f>
        <v/>
      </c>
      <c r="L126" s="2">
        <f>IF(H126="F",0,G126)</f>
        <v/>
      </c>
    </row>
    <row r="127">
      <c r="A127" s="2" t="inlineStr">
        <is>
          <t>m240107</t>
        </is>
      </c>
      <c r="B127" s="2">
        <f>IFERROR(VLOOKUP(A127,Students!$A:$B,2,FALSE),"")</f>
        <v/>
      </c>
      <c r="C127" s="2" t="inlineStr">
        <is>
          <t>Spring 2026</t>
        </is>
      </c>
      <c r="D127" s="2" t="inlineStr">
        <is>
          <t>Semester 4</t>
        </is>
      </c>
      <c r="E127" s="2" t="inlineStr">
        <is>
          <t>IRL 650</t>
        </is>
      </c>
      <c r="F127" s="2">
        <f>IFERROR(VLOOKUP(E127,Courses!$A:$C,2,FALSE),"")</f>
        <v/>
      </c>
      <c r="G127" s="2">
        <f>IFERROR(VLOOKUP(E127,Courses!$A:$C,3,FALSE),0)</f>
        <v/>
      </c>
      <c r="H127" s="2" t="inlineStr">
        <is>
          <t>C</t>
        </is>
      </c>
      <c r="I127" s="2" t="n">
        <v>73</v>
      </c>
      <c r="J127" s="2">
        <f>IFERROR(VLOOKUP(H127,'Grade Scale'!$A:$B,2,FALSE),0)</f>
        <v/>
      </c>
      <c r="K127" s="2">
        <f>J127*G127</f>
        <v/>
      </c>
      <c r="L127" s="2">
        <f>IF(H127="F",0,G127)</f>
        <v/>
      </c>
    </row>
    <row r="128">
      <c r="A128" s="2" t="inlineStr">
        <is>
          <t>m240107</t>
        </is>
      </c>
      <c r="B128" s="2">
        <f>IFERROR(VLOOKUP(A128,Students!$A:$B,2,FALSE),"")</f>
        <v/>
      </c>
      <c r="C128" s="2" t="inlineStr">
        <is>
          <t>Spring 2026</t>
        </is>
      </c>
      <c r="D128" s="2" t="inlineStr">
        <is>
          <t>Semester 4</t>
        </is>
      </c>
      <c r="E128" s="2" t="inlineStr">
        <is>
          <t>IRL 660</t>
        </is>
      </c>
      <c r="F128" s="2">
        <f>IFERROR(VLOOKUP(E128,Courses!$A:$C,2,FALSE),"")</f>
        <v/>
      </c>
      <c r="G128" s="2">
        <f>IFERROR(VLOOKUP(E128,Courses!$A:$C,3,FALSE),0)</f>
        <v/>
      </c>
      <c r="H128" s="2" t="inlineStr">
        <is>
          <t>B</t>
        </is>
      </c>
      <c r="I128" s="2" t="n">
        <v>84</v>
      </c>
      <c r="J128" s="2">
        <f>IFERROR(VLOOKUP(H128,'Grade Scale'!$A:$B,2,FALSE),0)</f>
        <v/>
      </c>
      <c r="K128" s="2">
        <f>J128*G128</f>
        <v/>
      </c>
      <c r="L128" s="2">
        <f>IF(H128="F",0,G128)</f>
        <v/>
      </c>
    </row>
    <row r="129">
      <c r="A129" s="2" t="inlineStr">
        <is>
          <t>m240107</t>
        </is>
      </c>
      <c r="B129" s="2">
        <f>IFERROR(VLOOKUP(A129,Students!$A:$B,2,FALSE),"")</f>
        <v/>
      </c>
      <c r="C129" s="2" t="inlineStr">
        <is>
          <t>Spring 2026</t>
        </is>
      </c>
      <c r="D129" s="2" t="inlineStr">
        <is>
          <t>Semester 4</t>
        </is>
      </c>
      <c r="E129" s="2" t="inlineStr">
        <is>
          <t>IRL 670</t>
        </is>
      </c>
      <c r="F129" s="2">
        <f>IFERROR(VLOOKUP(E129,Courses!$A:$C,2,FALSE),"")</f>
        <v/>
      </c>
      <c r="G129" s="2">
        <f>IFERROR(VLOOKUP(E129,Courses!$A:$C,3,FALSE),0)</f>
        <v/>
      </c>
      <c r="H129" s="2" t="inlineStr">
        <is>
          <t>B-</t>
        </is>
      </c>
      <c r="I129" s="2" t="n">
        <v>81</v>
      </c>
      <c r="J129" s="2">
        <f>IFERROR(VLOOKUP(H129,'Grade Scale'!$A:$B,2,FALSE),0)</f>
        <v/>
      </c>
      <c r="K129" s="2">
        <f>J129*G129</f>
        <v/>
      </c>
      <c r="L129" s="2">
        <f>IF(H129="F",0,G129)</f>
        <v/>
      </c>
    </row>
    <row r="130">
      <c r="A130" s="2" t="inlineStr">
        <is>
          <t>m240107</t>
        </is>
      </c>
      <c r="B130" s="2">
        <f>IFERROR(VLOOKUP(A130,Students!$A:$B,2,FALSE),"")</f>
        <v/>
      </c>
      <c r="C130" s="2" t="inlineStr">
        <is>
          <t>Spring 2026</t>
        </is>
      </c>
      <c r="D130" s="2" t="inlineStr">
        <is>
          <t>Semester 4</t>
        </is>
      </c>
      <c r="E130" s="2" t="inlineStr">
        <is>
          <t>IRL 680</t>
        </is>
      </c>
      <c r="F130" s="2">
        <f>IFERROR(VLOOKUP(E130,Courses!$A:$C,2,FALSE),"")</f>
        <v/>
      </c>
      <c r="G130" s="2">
        <f>IFERROR(VLOOKUP(E130,Courses!$A:$C,3,FALSE),0)</f>
        <v/>
      </c>
      <c r="H130" s="2" t="inlineStr">
        <is>
          <t>A-</t>
        </is>
      </c>
      <c r="I130" s="2" t="n">
        <v>91</v>
      </c>
      <c r="J130" s="2">
        <f>IFERROR(VLOOKUP(H130,'Grade Scale'!$A:$B,2,FALSE),0)</f>
        <v/>
      </c>
      <c r="K130" s="2">
        <f>J130*G130</f>
        <v/>
      </c>
      <c r="L130" s="2">
        <f>IF(H130="F",0,G130)</f>
        <v/>
      </c>
    </row>
    <row r="131">
      <c r="A131" s="2" t="inlineStr">
        <is>
          <t>m240107</t>
        </is>
      </c>
      <c r="B131" s="2">
        <f>IFERROR(VLOOKUP(A131,Students!$A:$B,2,FALSE),"")</f>
        <v/>
      </c>
      <c r="C131" s="2" t="inlineStr">
        <is>
          <t>Spring 2026</t>
        </is>
      </c>
      <c r="D131" s="2" t="inlineStr">
        <is>
          <t>Semester 4</t>
        </is>
      </c>
      <c r="E131" s="2" t="inlineStr">
        <is>
          <t>IRL 699</t>
        </is>
      </c>
      <c r="F131" s="2">
        <f>IFERROR(VLOOKUP(E131,Courses!$A:$C,2,FALSE),"")</f>
        <v/>
      </c>
      <c r="G131" s="2">
        <f>IFERROR(VLOOKUP(E131,Courses!$A:$C,3,FALSE),0)</f>
        <v/>
      </c>
      <c r="H131" s="2" t="inlineStr">
        <is>
          <t>A-</t>
        </is>
      </c>
      <c r="I131" s="2" t="n">
        <v>92</v>
      </c>
      <c r="J131" s="2">
        <f>IFERROR(VLOOKUP(H131,'Grade Scale'!$A:$B,2,FALSE),0)</f>
        <v/>
      </c>
      <c r="K131" s="2">
        <f>J131*G131</f>
        <v/>
      </c>
      <c r="L131" s="2">
        <f>IF(H131="F",0,G131)</f>
        <v/>
      </c>
    </row>
    <row r="132">
      <c r="A132" s="2" t="inlineStr">
        <is>
          <t>m240108</t>
        </is>
      </c>
      <c r="B132" s="2">
        <f>IFERROR(VLOOKUP(A132,Students!$A:$B,2,FALSE),"")</f>
        <v/>
      </c>
      <c r="C132" s="2" t="inlineStr">
        <is>
          <t>Fall 2024</t>
        </is>
      </c>
      <c r="D132" s="2" t="inlineStr">
        <is>
          <t>Semester 1</t>
        </is>
      </c>
      <c r="E132" s="2" t="inlineStr">
        <is>
          <t>CIV 101</t>
        </is>
      </c>
      <c r="F132" s="2">
        <f>IFERROR(VLOOKUP(E132,Courses!$A:$C,2,FALSE),"")</f>
        <v/>
      </c>
      <c r="G132" s="2">
        <f>IFERROR(VLOOKUP(E132,Courses!$A:$C,3,FALSE),0)</f>
        <v/>
      </c>
      <c r="H132" s="2" t="inlineStr">
        <is>
          <t>C-</t>
        </is>
      </c>
      <c r="I132" s="2" t="n">
        <v>70</v>
      </c>
      <c r="J132" s="2">
        <f>IFERROR(VLOOKUP(H132,'Grade Scale'!$A:$B,2,FALSE),0)</f>
        <v/>
      </c>
      <c r="K132" s="2">
        <f>J132*G132</f>
        <v/>
      </c>
      <c r="L132" s="2">
        <f>IF(H132="F",0,G132)</f>
        <v/>
      </c>
    </row>
    <row r="133">
      <c r="A133" s="2" t="inlineStr">
        <is>
          <t>m240108</t>
        </is>
      </c>
      <c r="B133" s="2">
        <f>IFERROR(VLOOKUP(A133,Students!$A:$B,2,FALSE),"")</f>
        <v/>
      </c>
      <c r="C133" s="2" t="inlineStr">
        <is>
          <t>Fall 2024</t>
        </is>
      </c>
      <c r="D133" s="2" t="inlineStr">
        <is>
          <t>Semester 1</t>
        </is>
      </c>
      <c r="E133" s="2" t="inlineStr">
        <is>
          <t>MTH 120</t>
        </is>
      </c>
      <c r="F133" s="2">
        <f>IFERROR(VLOOKUP(E133,Courses!$A:$C,2,FALSE),"")</f>
        <v/>
      </c>
      <c r="G133" s="2">
        <f>IFERROR(VLOOKUP(E133,Courses!$A:$C,3,FALSE),0)</f>
        <v/>
      </c>
      <c r="H133" s="2" t="inlineStr">
        <is>
          <t>C</t>
        </is>
      </c>
      <c r="I133" s="2" t="n">
        <v>74</v>
      </c>
      <c r="J133" s="2">
        <f>IFERROR(VLOOKUP(H133,'Grade Scale'!$A:$B,2,FALSE),0)</f>
        <v/>
      </c>
      <c r="K133" s="2">
        <f>J133*G133</f>
        <v/>
      </c>
      <c r="L133" s="2">
        <f>IF(H133="F",0,G133)</f>
        <v/>
      </c>
    </row>
    <row r="134">
      <c r="A134" s="2" t="inlineStr">
        <is>
          <t>m240108</t>
        </is>
      </c>
      <c r="B134" s="2">
        <f>IFERROR(VLOOKUP(A134,Students!$A:$B,2,FALSE),"")</f>
        <v/>
      </c>
      <c r="C134" s="2" t="inlineStr">
        <is>
          <t>Fall 2024</t>
        </is>
      </c>
      <c r="D134" s="2" t="inlineStr">
        <is>
          <t>Semester 1</t>
        </is>
      </c>
      <c r="E134" s="2" t="inlineStr">
        <is>
          <t>PHY 101</t>
        </is>
      </c>
      <c r="F134" s="2">
        <f>IFERROR(VLOOKUP(E134,Courses!$A:$C,2,FALSE),"")</f>
        <v/>
      </c>
      <c r="G134" s="2">
        <f>IFERROR(VLOOKUP(E134,Courses!$A:$C,3,FALSE),0)</f>
        <v/>
      </c>
      <c r="H134" s="2" t="inlineStr">
        <is>
          <t>B</t>
        </is>
      </c>
      <c r="I134" s="2" t="n">
        <v>86</v>
      </c>
      <c r="J134" s="2">
        <f>IFERROR(VLOOKUP(H134,'Grade Scale'!$A:$B,2,FALSE),0)</f>
        <v/>
      </c>
      <c r="K134" s="2">
        <f>J134*G134</f>
        <v/>
      </c>
      <c r="L134" s="2">
        <f>IF(H134="F",0,G134)</f>
        <v/>
      </c>
    </row>
    <row r="135">
      <c r="A135" s="2" t="inlineStr">
        <is>
          <t>m240108</t>
        </is>
      </c>
      <c r="B135" s="2">
        <f>IFERROR(VLOOKUP(A135,Students!$A:$B,2,FALSE),"")</f>
        <v/>
      </c>
      <c r="C135" s="2" t="inlineStr">
        <is>
          <t>Fall 2024</t>
        </is>
      </c>
      <c r="D135" s="2" t="inlineStr">
        <is>
          <t>Semester 1</t>
        </is>
      </c>
      <c r="E135" s="2" t="inlineStr">
        <is>
          <t>ENG 101</t>
        </is>
      </c>
      <c r="F135" s="2">
        <f>IFERROR(VLOOKUP(E135,Courses!$A:$C,2,FALSE),"")</f>
        <v/>
      </c>
      <c r="G135" s="2">
        <f>IFERROR(VLOOKUP(E135,Courses!$A:$C,3,FALSE),0)</f>
        <v/>
      </c>
      <c r="H135" s="2" t="inlineStr">
        <is>
          <t>C+</t>
        </is>
      </c>
      <c r="I135" s="2" t="n">
        <v>77</v>
      </c>
      <c r="J135" s="2">
        <f>IFERROR(VLOOKUP(H135,'Grade Scale'!$A:$B,2,FALSE),0)</f>
        <v/>
      </c>
      <c r="K135" s="2">
        <f>J135*G135</f>
        <v/>
      </c>
      <c r="L135" s="2">
        <f>IF(H135="F",0,G135)</f>
        <v/>
      </c>
    </row>
    <row r="136">
      <c r="A136" s="2" t="inlineStr">
        <is>
          <t>m240108</t>
        </is>
      </c>
      <c r="B136" s="2">
        <f>IFERROR(VLOOKUP(A136,Students!$A:$B,2,FALSE),"")</f>
        <v/>
      </c>
      <c r="C136" s="2" t="inlineStr">
        <is>
          <t>Fall 2024</t>
        </is>
      </c>
      <c r="D136" s="2" t="inlineStr">
        <is>
          <t>Semester 1</t>
        </is>
      </c>
      <c r="E136" s="2" t="inlineStr">
        <is>
          <t>CHM 101</t>
        </is>
      </c>
      <c r="F136" s="2">
        <f>IFERROR(VLOOKUP(E136,Courses!$A:$C,2,FALSE),"")</f>
        <v/>
      </c>
      <c r="G136" s="2">
        <f>IFERROR(VLOOKUP(E136,Courses!$A:$C,3,FALSE),0)</f>
        <v/>
      </c>
      <c r="H136" s="2" t="inlineStr">
        <is>
          <t>C+</t>
        </is>
      </c>
      <c r="I136" s="2" t="n">
        <v>78</v>
      </c>
      <c r="J136" s="2">
        <f>IFERROR(VLOOKUP(H136,'Grade Scale'!$A:$B,2,FALSE),0)</f>
        <v/>
      </c>
      <c r="K136" s="2">
        <f>J136*G136</f>
        <v/>
      </c>
      <c r="L136" s="2">
        <f>IF(H136="F",0,G136)</f>
        <v/>
      </c>
    </row>
    <row r="137">
      <c r="A137" s="2" t="inlineStr">
        <is>
          <t>m240108</t>
        </is>
      </c>
      <c r="B137" s="2">
        <f>IFERROR(VLOOKUP(A137,Students!$A:$B,2,FALSE),"")</f>
        <v/>
      </c>
      <c r="C137" s="2" t="inlineStr">
        <is>
          <t>Spring 2025</t>
        </is>
      </c>
      <c r="D137" s="2" t="inlineStr">
        <is>
          <t>Semester 2</t>
        </is>
      </c>
      <c r="E137" s="2" t="inlineStr">
        <is>
          <t>CIV 150</t>
        </is>
      </c>
      <c r="F137" s="2">
        <f>IFERROR(VLOOKUP(E137,Courses!$A:$C,2,FALSE),"")</f>
        <v/>
      </c>
      <c r="G137" s="2">
        <f>IFERROR(VLOOKUP(E137,Courses!$A:$C,3,FALSE),0)</f>
        <v/>
      </c>
      <c r="H137" s="2" t="inlineStr">
        <is>
          <t>C</t>
        </is>
      </c>
      <c r="I137" s="2" t="n">
        <v>76</v>
      </c>
      <c r="J137" s="2">
        <f>IFERROR(VLOOKUP(H137,'Grade Scale'!$A:$B,2,FALSE),0)</f>
        <v/>
      </c>
      <c r="K137" s="2">
        <f>J137*G137</f>
        <v/>
      </c>
      <c r="L137" s="2">
        <f>IF(H137="F",0,G137)</f>
        <v/>
      </c>
    </row>
    <row r="138">
      <c r="A138" s="2" t="inlineStr">
        <is>
          <t>m240108</t>
        </is>
      </c>
      <c r="B138" s="2">
        <f>IFERROR(VLOOKUP(A138,Students!$A:$B,2,FALSE),"")</f>
        <v/>
      </c>
      <c r="C138" s="2" t="inlineStr">
        <is>
          <t>Spring 2025</t>
        </is>
      </c>
      <c r="D138" s="2" t="inlineStr">
        <is>
          <t>Semester 2</t>
        </is>
      </c>
      <c r="E138" s="2" t="inlineStr">
        <is>
          <t>MTH 140</t>
        </is>
      </c>
      <c r="F138" s="2">
        <f>IFERROR(VLOOKUP(E138,Courses!$A:$C,2,FALSE),"")</f>
        <v/>
      </c>
      <c r="G138" s="2">
        <f>IFERROR(VLOOKUP(E138,Courses!$A:$C,3,FALSE),0)</f>
        <v/>
      </c>
      <c r="H138" s="2" t="inlineStr">
        <is>
          <t>B-</t>
        </is>
      </c>
      <c r="I138" s="2" t="n">
        <v>80</v>
      </c>
      <c r="J138" s="2">
        <f>IFERROR(VLOOKUP(H138,'Grade Scale'!$A:$B,2,FALSE),0)</f>
        <v/>
      </c>
      <c r="K138" s="2">
        <f>J138*G138</f>
        <v/>
      </c>
      <c r="L138" s="2">
        <f>IF(H138="F",0,G138)</f>
        <v/>
      </c>
    </row>
    <row r="139">
      <c r="A139" s="2" t="inlineStr">
        <is>
          <t>m240108</t>
        </is>
      </c>
      <c r="B139" s="2">
        <f>IFERROR(VLOOKUP(A139,Students!$A:$B,2,FALSE),"")</f>
        <v/>
      </c>
      <c r="C139" s="2" t="inlineStr">
        <is>
          <t>Spring 2025</t>
        </is>
      </c>
      <c r="D139" s="2" t="inlineStr">
        <is>
          <t>Semester 2</t>
        </is>
      </c>
      <c r="E139" s="2" t="inlineStr">
        <is>
          <t>PHY 102</t>
        </is>
      </c>
      <c r="F139" s="2">
        <f>IFERROR(VLOOKUP(E139,Courses!$A:$C,2,FALSE),"")</f>
        <v/>
      </c>
      <c r="G139" s="2">
        <f>IFERROR(VLOOKUP(E139,Courses!$A:$C,3,FALSE),0)</f>
        <v/>
      </c>
      <c r="H139" s="2" t="inlineStr">
        <is>
          <t>B+</t>
        </is>
      </c>
      <c r="I139" s="2" t="n">
        <v>87</v>
      </c>
      <c r="J139" s="2">
        <f>IFERROR(VLOOKUP(H139,'Grade Scale'!$A:$B,2,FALSE),0)</f>
        <v/>
      </c>
      <c r="K139" s="2">
        <f>J139*G139</f>
        <v/>
      </c>
      <c r="L139" s="2">
        <f>IF(H139="F",0,G139)</f>
        <v/>
      </c>
    </row>
    <row r="140">
      <c r="A140" s="2" t="inlineStr">
        <is>
          <t>m240108</t>
        </is>
      </c>
      <c r="B140" s="2">
        <f>IFERROR(VLOOKUP(A140,Students!$A:$B,2,FALSE),"")</f>
        <v/>
      </c>
      <c r="C140" s="2" t="inlineStr">
        <is>
          <t>Spring 2025</t>
        </is>
      </c>
      <c r="D140" s="2" t="inlineStr">
        <is>
          <t>Semester 2</t>
        </is>
      </c>
      <c r="E140" s="2" t="inlineStr">
        <is>
          <t>ENG 102</t>
        </is>
      </c>
      <c r="F140" s="2">
        <f>IFERROR(VLOOKUP(E140,Courses!$A:$C,2,FALSE),"")</f>
        <v/>
      </c>
      <c r="G140" s="2">
        <f>IFERROR(VLOOKUP(E140,Courses!$A:$C,3,FALSE),0)</f>
        <v/>
      </c>
      <c r="H140" s="2" t="inlineStr">
        <is>
          <t>A-</t>
        </is>
      </c>
      <c r="I140" s="2" t="n">
        <v>91</v>
      </c>
      <c r="J140" s="2">
        <f>IFERROR(VLOOKUP(H140,'Grade Scale'!$A:$B,2,FALSE),0)</f>
        <v/>
      </c>
      <c r="K140" s="2">
        <f>J140*G140</f>
        <v/>
      </c>
      <c r="L140" s="2">
        <f>IF(H140="F",0,G140)</f>
        <v/>
      </c>
    </row>
    <row r="141">
      <c r="A141" s="2" t="inlineStr">
        <is>
          <t>m240108</t>
        </is>
      </c>
      <c r="B141" s="2">
        <f>IFERROR(VLOOKUP(A141,Students!$A:$B,2,FALSE),"")</f>
        <v/>
      </c>
      <c r="C141" s="2" t="inlineStr">
        <is>
          <t>Spring 2025</t>
        </is>
      </c>
      <c r="D141" s="2" t="inlineStr">
        <is>
          <t>Semester 2</t>
        </is>
      </c>
      <c r="E141" s="2" t="inlineStr">
        <is>
          <t>CIV 160</t>
        </is>
      </c>
      <c r="F141" s="2">
        <f>IFERROR(VLOOKUP(E141,Courses!$A:$C,2,FALSE),"")</f>
        <v/>
      </c>
      <c r="G141" s="2">
        <f>IFERROR(VLOOKUP(E141,Courses!$A:$C,3,FALSE),0)</f>
        <v/>
      </c>
      <c r="H141" s="2" t="inlineStr">
        <is>
          <t>C</t>
        </is>
      </c>
      <c r="I141" s="2" t="n">
        <v>76</v>
      </c>
      <c r="J141" s="2">
        <f>IFERROR(VLOOKUP(H141,'Grade Scale'!$A:$B,2,FALSE),0)</f>
        <v/>
      </c>
      <c r="K141" s="2">
        <f>J141*G141</f>
        <v/>
      </c>
      <c r="L141" s="2">
        <f>IF(H141="F",0,G141)</f>
        <v/>
      </c>
    </row>
    <row r="142">
      <c r="A142" s="2" t="inlineStr">
        <is>
          <t>m240108</t>
        </is>
      </c>
      <c r="B142" s="2">
        <f>IFERROR(VLOOKUP(A142,Students!$A:$B,2,FALSE),"")</f>
        <v/>
      </c>
      <c r="C142" s="2" t="inlineStr">
        <is>
          <t>Fall 2025</t>
        </is>
      </c>
      <c r="D142" s="2" t="inlineStr">
        <is>
          <t>Semester 3</t>
        </is>
      </c>
      <c r="E142" s="2" t="inlineStr">
        <is>
          <t>CIV 210</t>
        </is>
      </c>
      <c r="F142" s="2">
        <f>IFERROR(VLOOKUP(E142,Courses!$A:$C,2,FALSE),"")</f>
        <v/>
      </c>
      <c r="G142" s="2">
        <f>IFERROR(VLOOKUP(E142,Courses!$A:$C,3,FALSE),0)</f>
        <v/>
      </c>
      <c r="H142" s="2" t="inlineStr">
        <is>
          <t>C</t>
        </is>
      </c>
      <c r="I142" s="2" t="n">
        <v>76</v>
      </c>
      <c r="J142" s="2">
        <f>IFERROR(VLOOKUP(H142,'Grade Scale'!$A:$B,2,FALSE),0)</f>
        <v/>
      </c>
      <c r="K142" s="2">
        <f>J142*G142</f>
        <v/>
      </c>
      <c r="L142" s="2">
        <f>IF(H142="F",0,G142)</f>
        <v/>
      </c>
    </row>
    <row r="143">
      <c r="A143" s="2" t="inlineStr">
        <is>
          <t>m240108</t>
        </is>
      </c>
      <c r="B143" s="2">
        <f>IFERROR(VLOOKUP(A143,Students!$A:$B,2,FALSE),"")</f>
        <v/>
      </c>
      <c r="C143" s="2" t="inlineStr">
        <is>
          <t>Fall 2025</t>
        </is>
      </c>
      <c r="D143" s="2" t="inlineStr">
        <is>
          <t>Semester 3</t>
        </is>
      </c>
      <c r="E143" s="2" t="inlineStr">
        <is>
          <t>CIV 220</t>
        </is>
      </c>
      <c r="F143" s="2">
        <f>IFERROR(VLOOKUP(E143,Courses!$A:$C,2,FALSE),"")</f>
        <v/>
      </c>
      <c r="G143" s="2">
        <f>IFERROR(VLOOKUP(E143,Courses!$A:$C,3,FALSE),0)</f>
        <v/>
      </c>
      <c r="H143" s="2" t="inlineStr">
        <is>
          <t>C+</t>
        </is>
      </c>
      <c r="I143" s="2" t="n">
        <v>79</v>
      </c>
      <c r="J143" s="2">
        <f>IFERROR(VLOOKUP(H143,'Grade Scale'!$A:$B,2,FALSE),0)</f>
        <v/>
      </c>
      <c r="K143" s="2">
        <f>J143*G143</f>
        <v/>
      </c>
      <c r="L143" s="2">
        <f>IF(H143="F",0,G143)</f>
        <v/>
      </c>
    </row>
    <row r="144">
      <c r="A144" s="2" t="inlineStr">
        <is>
          <t>m240108</t>
        </is>
      </c>
      <c r="B144" s="2">
        <f>IFERROR(VLOOKUP(A144,Students!$A:$B,2,FALSE),"")</f>
        <v/>
      </c>
      <c r="C144" s="2" t="inlineStr">
        <is>
          <t>Fall 2025</t>
        </is>
      </c>
      <c r="D144" s="2" t="inlineStr">
        <is>
          <t>Semester 3</t>
        </is>
      </c>
      <c r="E144" s="2" t="inlineStr">
        <is>
          <t>CIV 230</t>
        </is>
      </c>
      <c r="F144" s="2">
        <f>IFERROR(VLOOKUP(E144,Courses!$A:$C,2,FALSE),"")</f>
        <v/>
      </c>
      <c r="G144" s="2">
        <f>IFERROR(VLOOKUP(E144,Courses!$A:$C,3,FALSE),0)</f>
        <v/>
      </c>
      <c r="H144" s="2" t="inlineStr">
        <is>
          <t>C-</t>
        </is>
      </c>
      <c r="I144" s="2" t="n">
        <v>72</v>
      </c>
      <c r="J144" s="2">
        <f>IFERROR(VLOOKUP(H144,'Grade Scale'!$A:$B,2,FALSE),0)</f>
        <v/>
      </c>
      <c r="K144" s="2">
        <f>J144*G144</f>
        <v/>
      </c>
      <c r="L144" s="2">
        <f>IF(H144="F",0,G144)</f>
        <v/>
      </c>
    </row>
    <row r="145">
      <c r="A145" s="2" t="inlineStr">
        <is>
          <t>m240108</t>
        </is>
      </c>
      <c r="B145" s="2">
        <f>IFERROR(VLOOKUP(A145,Students!$A:$B,2,FALSE),"")</f>
        <v/>
      </c>
      <c r="C145" s="2" t="inlineStr">
        <is>
          <t>Fall 2025</t>
        </is>
      </c>
      <c r="D145" s="2" t="inlineStr">
        <is>
          <t>Semester 3</t>
        </is>
      </c>
      <c r="E145" s="2" t="inlineStr">
        <is>
          <t>MTH 210</t>
        </is>
      </c>
      <c r="F145" s="2">
        <f>IFERROR(VLOOKUP(E145,Courses!$A:$C,2,FALSE),"")</f>
        <v/>
      </c>
      <c r="G145" s="2">
        <f>IFERROR(VLOOKUP(E145,Courses!$A:$C,3,FALSE),0)</f>
        <v/>
      </c>
      <c r="H145" s="2" t="inlineStr">
        <is>
          <t>D+</t>
        </is>
      </c>
      <c r="I145" s="2" t="n">
        <v>67</v>
      </c>
      <c r="J145" s="2">
        <f>IFERROR(VLOOKUP(H145,'Grade Scale'!$A:$B,2,FALSE),0)</f>
        <v/>
      </c>
      <c r="K145" s="2">
        <f>J145*G145</f>
        <v/>
      </c>
      <c r="L145" s="2">
        <f>IF(H145="F",0,G145)</f>
        <v/>
      </c>
    </row>
    <row r="146">
      <c r="A146" s="2" t="inlineStr">
        <is>
          <t>m240108</t>
        </is>
      </c>
      <c r="B146" s="2">
        <f>IFERROR(VLOOKUP(A146,Students!$A:$B,2,FALSE),"")</f>
        <v/>
      </c>
      <c r="C146" s="2" t="inlineStr">
        <is>
          <t>Fall 2025</t>
        </is>
      </c>
      <c r="D146" s="2" t="inlineStr">
        <is>
          <t>Semester 3</t>
        </is>
      </c>
      <c r="E146" s="2" t="inlineStr">
        <is>
          <t>CIV 240</t>
        </is>
      </c>
      <c r="F146" s="2">
        <f>IFERROR(VLOOKUP(E146,Courses!$A:$C,2,FALSE),"")</f>
        <v/>
      </c>
      <c r="G146" s="2">
        <f>IFERROR(VLOOKUP(E146,Courses!$A:$C,3,FALSE),0)</f>
        <v/>
      </c>
      <c r="H146" s="2" t="inlineStr">
        <is>
          <t>B-</t>
        </is>
      </c>
      <c r="I146" s="2" t="n">
        <v>82</v>
      </c>
      <c r="J146" s="2">
        <f>IFERROR(VLOOKUP(H146,'Grade Scale'!$A:$B,2,FALSE),0)</f>
        <v/>
      </c>
      <c r="K146" s="2">
        <f>J146*G146</f>
        <v/>
      </c>
      <c r="L146" s="2">
        <f>IF(H146="F",0,G146)</f>
        <v/>
      </c>
    </row>
    <row r="147">
      <c r="A147" s="2" t="inlineStr">
        <is>
          <t>m240108</t>
        </is>
      </c>
      <c r="B147" s="2">
        <f>IFERROR(VLOOKUP(A147,Students!$A:$B,2,FALSE),"")</f>
        <v/>
      </c>
      <c r="C147" s="2" t="inlineStr">
        <is>
          <t>Spring 2026</t>
        </is>
      </c>
      <c r="D147" s="2" t="inlineStr">
        <is>
          <t>Semester 4</t>
        </is>
      </c>
      <c r="E147" s="2" t="inlineStr">
        <is>
          <t>CIV 250</t>
        </is>
      </c>
      <c r="F147" s="2">
        <f>IFERROR(VLOOKUP(E147,Courses!$A:$C,2,FALSE),"")</f>
        <v/>
      </c>
      <c r="G147" s="2">
        <f>IFERROR(VLOOKUP(E147,Courses!$A:$C,3,FALSE),0)</f>
        <v/>
      </c>
      <c r="H147" s="2" t="inlineStr">
        <is>
          <t>D</t>
        </is>
      </c>
      <c r="I147" s="2" t="n">
        <v>66</v>
      </c>
      <c r="J147" s="2">
        <f>IFERROR(VLOOKUP(H147,'Grade Scale'!$A:$B,2,FALSE),0)</f>
        <v/>
      </c>
      <c r="K147" s="2">
        <f>J147*G147</f>
        <v/>
      </c>
      <c r="L147" s="2">
        <f>IF(H147="F",0,G147)</f>
        <v/>
      </c>
    </row>
    <row r="148">
      <c r="A148" s="2" t="inlineStr">
        <is>
          <t>m240108</t>
        </is>
      </c>
      <c r="B148" s="2">
        <f>IFERROR(VLOOKUP(A148,Students!$A:$B,2,FALSE),"")</f>
        <v/>
      </c>
      <c r="C148" s="2" t="inlineStr">
        <is>
          <t>Spring 2026</t>
        </is>
      </c>
      <c r="D148" s="2" t="inlineStr">
        <is>
          <t>Semester 4</t>
        </is>
      </c>
      <c r="E148" s="2" t="inlineStr">
        <is>
          <t>CIV 260</t>
        </is>
      </c>
      <c r="F148" s="2">
        <f>IFERROR(VLOOKUP(E148,Courses!$A:$C,2,FALSE),"")</f>
        <v/>
      </c>
      <c r="G148" s="2">
        <f>IFERROR(VLOOKUP(E148,Courses!$A:$C,3,FALSE),0)</f>
        <v/>
      </c>
      <c r="H148" s="2" t="inlineStr">
        <is>
          <t>C+</t>
        </is>
      </c>
      <c r="I148" s="2" t="n">
        <v>77</v>
      </c>
      <c r="J148" s="2">
        <f>IFERROR(VLOOKUP(H148,'Grade Scale'!$A:$B,2,FALSE),0)</f>
        <v/>
      </c>
      <c r="K148" s="2">
        <f>J148*G148</f>
        <v/>
      </c>
      <c r="L148" s="2">
        <f>IF(H148="F",0,G148)</f>
        <v/>
      </c>
    </row>
    <row r="149">
      <c r="A149" s="2" t="inlineStr">
        <is>
          <t>m240108</t>
        </is>
      </c>
      <c r="B149" s="2">
        <f>IFERROR(VLOOKUP(A149,Students!$A:$B,2,FALSE),"")</f>
        <v/>
      </c>
      <c r="C149" s="2" t="inlineStr">
        <is>
          <t>Spring 2026</t>
        </is>
      </c>
      <c r="D149" s="2" t="inlineStr">
        <is>
          <t>Semester 4</t>
        </is>
      </c>
      <c r="E149" s="2" t="inlineStr">
        <is>
          <t>CIV 270</t>
        </is>
      </c>
      <c r="F149" s="2">
        <f>IFERROR(VLOOKUP(E149,Courses!$A:$C,2,FALSE),"")</f>
        <v/>
      </c>
      <c r="G149" s="2">
        <f>IFERROR(VLOOKUP(E149,Courses!$A:$C,3,FALSE),0)</f>
        <v/>
      </c>
      <c r="H149" s="2" t="inlineStr">
        <is>
          <t>B</t>
        </is>
      </c>
      <c r="I149" s="2" t="n">
        <v>85</v>
      </c>
      <c r="J149" s="2">
        <f>IFERROR(VLOOKUP(H149,'Grade Scale'!$A:$B,2,FALSE),0)</f>
        <v/>
      </c>
      <c r="K149" s="2">
        <f>J149*G149</f>
        <v/>
      </c>
      <c r="L149" s="2">
        <f>IF(H149="F",0,G149)</f>
        <v/>
      </c>
    </row>
    <row r="150">
      <c r="A150" s="2" t="inlineStr">
        <is>
          <t>m240108</t>
        </is>
      </c>
      <c r="B150" s="2">
        <f>IFERROR(VLOOKUP(A150,Students!$A:$B,2,FALSE),"")</f>
        <v/>
      </c>
      <c r="C150" s="2" t="inlineStr">
        <is>
          <t>Spring 2026</t>
        </is>
      </c>
      <c r="D150" s="2" t="inlineStr">
        <is>
          <t>Semester 4</t>
        </is>
      </c>
      <c r="E150" s="2" t="inlineStr">
        <is>
          <t>CIV 280</t>
        </is>
      </c>
      <c r="F150" s="2">
        <f>IFERROR(VLOOKUP(E150,Courses!$A:$C,2,FALSE),"")</f>
        <v/>
      </c>
      <c r="G150" s="2">
        <f>IFERROR(VLOOKUP(E150,Courses!$A:$C,3,FALSE),0)</f>
        <v/>
      </c>
      <c r="H150" s="2" t="inlineStr">
        <is>
          <t>B-</t>
        </is>
      </c>
      <c r="I150" s="2" t="n">
        <v>82</v>
      </c>
      <c r="J150" s="2">
        <f>IFERROR(VLOOKUP(H150,'Grade Scale'!$A:$B,2,FALSE),0)</f>
        <v/>
      </c>
      <c r="K150" s="2">
        <f>J150*G150</f>
        <v/>
      </c>
      <c r="L150" s="2">
        <f>IF(H150="F",0,G150)</f>
        <v/>
      </c>
    </row>
    <row r="151">
      <c r="A151" s="2" t="inlineStr">
        <is>
          <t>m240108</t>
        </is>
      </c>
      <c r="B151" s="2">
        <f>IFERROR(VLOOKUP(A151,Students!$A:$B,2,FALSE),"")</f>
        <v/>
      </c>
      <c r="C151" s="2" t="inlineStr">
        <is>
          <t>Spring 2026</t>
        </is>
      </c>
      <c r="D151" s="2" t="inlineStr">
        <is>
          <t>Semester 4</t>
        </is>
      </c>
      <c r="E151" s="2" t="inlineStr">
        <is>
          <t>CIV 290</t>
        </is>
      </c>
      <c r="F151" s="2">
        <f>IFERROR(VLOOKUP(E151,Courses!$A:$C,2,FALSE),"")</f>
        <v/>
      </c>
      <c r="G151" s="2">
        <f>IFERROR(VLOOKUP(E151,Courses!$A:$C,3,FALSE),0)</f>
        <v/>
      </c>
      <c r="H151" s="2" t="inlineStr">
        <is>
          <t>C-</t>
        </is>
      </c>
      <c r="I151" s="2" t="n">
        <v>72</v>
      </c>
      <c r="J151" s="2">
        <f>IFERROR(VLOOKUP(H151,'Grade Scale'!$A:$B,2,FALSE),0)</f>
        <v/>
      </c>
      <c r="K151" s="2">
        <f>J151*G151</f>
        <v/>
      </c>
      <c r="L151" s="2">
        <f>IF(H151="F",0,G151)</f>
        <v/>
      </c>
    </row>
    <row r="152">
      <c r="A152" s="2" t="inlineStr">
        <is>
          <t>m250201</t>
        </is>
      </c>
      <c r="B152" s="2">
        <f>IFERROR(VLOOKUP(A152,Students!$A:$B,2,FALSE),"")</f>
        <v/>
      </c>
      <c r="C152" s="2" t="inlineStr">
        <is>
          <t>Spring 2025</t>
        </is>
      </c>
      <c r="D152" s="2" t="inlineStr">
        <is>
          <t>Semester 1</t>
        </is>
      </c>
      <c r="E152" s="2" t="inlineStr">
        <is>
          <t>CSE 101</t>
        </is>
      </c>
      <c r="F152" s="2">
        <f>IFERROR(VLOOKUP(E152,Courses!$A:$C,2,FALSE),"")</f>
        <v/>
      </c>
      <c r="G152" s="2">
        <f>IFERROR(VLOOKUP(E152,Courses!$A:$C,3,FALSE),0)</f>
        <v/>
      </c>
      <c r="H152" s="2" t="inlineStr">
        <is>
          <t>B+</t>
        </is>
      </c>
      <c r="I152" s="2" t="n">
        <v>89</v>
      </c>
      <c r="J152" s="2">
        <f>IFERROR(VLOOKUP(H152,'Grade Scale'!$A:$B,2,FALSE),0)</f>
        <v/>
      </c>
      <c r="K152" s="2">
        <f>J152*G152</f>
        <v/>
      </c>
      <c r="L152" s="2">
        <f>IF(H152="F",0,G152)</f>
        <v/>
      </c>
    </row>
    <row r="153">
      <c r="A153" s="2" t="inlineStr">
        <is>
          <t>m250201</t>
        </is>
      </c>
      <c r="B153" s="2">
        <f>IFERROR(VLOOKUP(A153,Students!$A:$B,2,FALSE),"")</f>
        <v/>
      </c>
      <c r="C153" s="2" t="inlineStr">
        <is>
          <t>Spring 2025</t>
        </is>
      </c>
      <c r="D153" s="2" t="inlineStr">
        <is>
          <t>Semester 1</t>
        </is>
      </c>
      <c r="E153" s="2" t="inlineStr">
        <is>
          <t>MTH 110</t>
        </is>
      </c>
      <c r="F153" s="2">
        <f>IFERROR(VLOOKUP(E153,Courses!$A:$C,2,FALSE),"")</f>
        <v/>
      </c>
      <c r="G153" s="2">
        <f>IFERROR(VLOOKUP(E153,Courses!$A:$C,3,FALSE),0)</f>
        <v/>
      </c>
      <c r="H153" s="2" t="inlineStr">
        <is>
          <t>A-</t>
        </is>
      </c>
      <c r="I153" s="2" t="n">
        <v>90</v>
      </c>
      <c r="J153" s="2">
        <f>IFERROR(VLOOKUP(H153,'Grade Scale'!$A:$B,2,FALSE),0)</f>
        <v/>
      </c>
      <c r="K153" s="2">
        <f>J153*G153</f>
        <v/>
      </c>
      <c r="L153" s="2">
        <f>IF(H153="F",0,G153)</f>
        <v/>
      </c>
    </row>
    <row r="154">
      <c r="A154" s="2" t="inlineStr">
        <is>
          <t>m250201</t>
        </is>
      </c>
      <c r="B154" s="2">
        <f>IFERROR(VLOOKUP(A154,Students!$A:$B,2,FALSE),"")</f>
        <v/>
      </c>
      <c r="C154" s="2" t="inlineStr">
        <is>
          <t>Spring 2025</t>
        </is>
      </c>
      <c r="D154" s="2" t="inlineStr">
        <is>
          <t>Semester 1</t>
        </is>
      </c>
      <c r="E154" s="2" t="inlineStr">
        <is>
          <t>CSE 120</t>
        </is>
      </c>
      <c r="F154" s="2">
        <f>IFERROR(VLOOKUP(E154,Courses!$A:$C,2,FALSE),"")</f>
        <v/>
      </c>
      <c r="G154" s="2">
        <f>IFERROR(VLOOKUP(E154,Courses!$A:$C,3,FALSE),0)</f>
        <v/>
      </c>
      <c r="H154" s="2" t="inlineStr">
        <is>
          <t>A</t>
        </is>
      </c>
      <c r="I154" s="2" t="n">
        <v>99</v>
      </c>
      <c r="J154" s="2">
        <f>IFERROR(VLOOKUP(H154,'Grade Scale'!$A:$B,2,FALSE),0)</f>
        <v/>
      </c>
      <c r="K154" s="2">
        <f>J154*G154</f>
        <v/>
      </c>
      <c r="L154" s="2">
        <f>IF(H154="F",0,G154)</f>
        <v/>
      </c>
    </row>
    <row r="155">
      <c r="A155" s="2" t="inlineStr">
        <is>
          <t>m250201</t>
        </is>
      </c>
      <c r="B155" s="2">
        <f>IFERROR(VLOOKUP(A155,Students!$A:$B,2,FALSE),"")</f>
        <v/>
      </c>
      <c r="C155" s="2" t="inlineStr">
        <is>
          <t>Spring 2025</t>
        </is>
      </c>
      <c r="D155" s="2" t="inlineStr">
        <is>
          <t>Semester 1</t>
        </is>
      </c>
      <c r="E155" s="2" t="inlineStr">
        <is>
          <t>ENG 101</t>
        </is>
      </c>
      <c r="F155" s="2">
        <f>IFERROR(VLOOKUP(E155,Courses!$A:$C,2,FALSE),"")</f>
        <v/>
      </c>
      <c r="G155" s="2">
        <f>IFERROR(VLOOKUP(E155,Courses!$A:$C,3,FALSE),0)</f>
        <v/>
      </c>
      <c r="H155" s="2" t="inlineStr">
        <is>
          <t>A</t>
        </is>
      </c>
      <c r="I155" s="2" t="n">
        <v>97</v>
      </c>
      <c r="J155" s="2">
        <f>IFERROR(VLOOKUP(H155,'Grade Scale'!$A:$B,2,FALSE),0)</f>
        <v/>
      </c>
      <c r="K155" s="2">
        <f>J155*G155</f>
        <v/>
      </c>
      <c r="L155" s="2">
        <f>IF(H155="F",0,G155)</f>
        <v/>
      </c>
    </row>
    <row r="156">
      <c r="A156" s="2" t="inlineStr">
        <is>
          <t>m250201</t>
        </is>
      </c>
      <c r="B156" s="2">
        <f>IFERROR(VLOOKUP(A156,Students!$A:$B,2,FALSE),"")</f>
        <v/>
      </c>
      <c r="C156" s="2" t="inlineStr">
        <is>
          <t>Spring 2025</t>
        </is>
      </c>
      <c r="D156" s="2" t="inlineStr">
        <is>
          <t>Semester 1</t>
        </is>
      </c>
      <c r="E156" s="2" t="inlineStr">
        <is>
          <t>MTH 120</t>
        </is>
      </c>
      <c r="F156" s="2">
        <f>IFERROR(VLOOKUP(E156,Courses!$A:$C,2,FALSE),"")</f>
        <v/>
      </c>
      <c r="G156" s="2">
        <f>IFERROR(VLOOKUP(E156,Courses!$A:$C,3,FALSE),0)</f>
        <v/>
      </c>
      <c r="H156" s="2" t="inlineStr">
        <is>
          <t>A</t>
        </is>
      </c>
      <c r="I156" s="2" t="n">
        <v>94</v>
      </c>
      <c r="J156" s="2">
        <f>IFERROR(VLOOKUP(H156,'Grade Scale'!$A:$B,2,FALSE),0)</f>
        <v/>
      </c>
      <c r="K156" s="2">
        <f>J156*G156</f>
        <v/>
      </c>
      <c r="L156" s="2">
        <f>IF(H156="F",0,G156)</f>
        <v/>
      </c>
    </row>
    <row r="157">
      <c r="A157" s="2" t="inlineStr">
        <is>
          <t>m250201</t>
        </is>
      </c>
      <c r="B157" s="2">
        <f>IFERROR(VLOOKUP(A157,Students!$A:$B,2,FALSE),"")</f>
        <v/>
      </c>
      <c r="C157" s="2" t="inlineStr">
        <is>
          <t>Fall 2025</t>
        </is>
      </c>
      <c r="D157" s="2" t="inlineStr">
        <is>
          <t>Semester 2</t>
        </is>
      </c>
      <c r="E157" s="2" t="inlineStr">
        <is>
          <t>CSE 150</t>
        </is>
      </c>
      <c r="F157" s="2">
        <f>IFERROR(VLOOKUP(E157,Courses!$A:$C,2,FALSE),"")</f>
        <v/>
      </c>
      <c r="G157" s="2">
        <f>IFERROR(VLOOKUP(E157,Courses!$A:$C,3,FALSE),0)</f>
        <v/>
      </c>
      <c r="H157" s="2" t="inlineStr">
        <is>
          <t>A-</t>
        </is>
      </c>
      <c r="I157" s="2" t="n">
        <v>91</v>
      </c>
      <c r="J157" s="2">
        <f>IFERROR(VLOOKUP(H157,'Grade Scale'!$A:$B,2,FALSE),0)</f>
        <v/>
      </c>
      <c r="K157" s="2">
        <f>J157*G157</f>
        <v/>
      </c>
      <c r="L157" s="2">
        <f>IF(H157="F",0,G157)</f>
        <v/>
      </c>
    </row>
    <row r="158">
      <c r="A158" s="2" t="inlineStr">
        <is>
          <t>m250201</t>
        </is>
      </c>
      <c r="B158" s="2">
        <f>IFERROR(VLOOKUP(A158,Students!$A:$B,2,FALSE),"")</f>
        <v/>
      </c>
      <c r="C158" s="2" t="inlineStr">
        <is>
          <t>Fall 2025</t>
        </is>
      </c>
      <c r="D158" s="2" t="inlineStr">
        <is>
          <t>Semester 2</t>
        </is>
      </c>
      <c r="E158" s="2" t="inlineStr">
        <is>
          <t>CSE 160</t>
        </is>
      </c>
      <c r="F158" s="2">
        <f>IFERROR(VLOOKUP(E158,Courses!$A:$C,2,FALSE),"")</f>
        <v/>
      </c>
      <c r="G158" s="2">
        <f>IFERROR(VLOOKUP(E158,Courses!$A:$C,3,FALSE),0)</f>
        <v/>
      </c>
      <c r="H158" s="2" t="inlineStr">
        <is>
          <t>B</t>
        </is>
      </c>
      <c r="I158" s="2" t="n">
        <v>83</v>
      </c>
      <c r="J158" s="2">
        <f>IFERROR(VLOOKUP(H158,'Grade Scale'!$A:$B,2,FALSE),0)</f>
        <v/>
      </c>
      <c r="K158" s="2">
        <f>J158*G158</f>
        <v/>
      </c>
      <c r="L158" s="2">
        <f>IF(H158="F",0,G158)</f>
        <v/>
      </c>
    </row>
    <row r="159">
      <c r="A159" s="2" t="inlineStr">
        <is>
          <t>m250201</t>
        </is>
      </c>
      <c r="B159" s="2">
        <f>IFERROR(VLOOKUP(A159,Students!$A:$B,2,FALSE),"")</f>
        <v/>
      </c>
      <c r="C159" s="2" t="inlineStr">
        <is>
          <t>Fall 2025</t>
        </is>
      </c>
      <c r="D159" s="2" t="inlineStr">
        <is>
          <t>Semester 2</t>
        </is>
      </c>
      <c r="E159" s="2" t="inlineStr">
        <is>
          <t>CSE 170</t>
        </is>
      </c>
      <c r="F159" s="2">
        <f>IFERROR(VLOOKUP(E159,Courses!$A:$C,2,FALSE),"")</f>
        <v/>
      </c>
      <c r="G159" s="2">
        <f>IFERROR(VLOOKUP(E159,Courses!$A:$C,3,FALSE),0)</f>
        <v/>
      </c>
      <c r="H159" s="2" t="inlineStr">
        <is>
          <t>A</t>
        </is>
      </c>
      <c r="I159" s="2" t="n">
        <v>97</v>
      </c>
      <c r="J159" s="2">
        <f>IFERROR(VLOOKUP(H159,'Grade Scale'!$A:$B,2,FALSE),0)</f>
        <v/>
      </c>
      <c r="K159" s="2">
        <f>J159*G159</f>
        <v/>
      </c>
      <c r="L159" s="2">
        <f>IF(H159="F",0,G159)</f>
        <v/>
      </c>
    </row>
    <row r="160">
      <c r="A160" s="2" t="inlineStr">
        <is>
          <t>m250201</t>
        </is>
      </c>
      <c r="B160" s="2">
        <f>IFERROR(VLOOKUP(A160,Students!$A:$B,2,FALSE),"")</f>
        <v/>
      </c>
      <c r="C160" s="2" t="inlineStr">
        <is>
          <t>Fall 2025</t>
        </is>
      </c>
      <c r="D160" s="2" t="inlineStr">
        <is>
          <t>Semester 2</t>
        </is>
      </c>
      <c r="E160" s="2" t="inlineStr">
        <is>
          <t>ENG 102</t>
        </is>
      </c>
      <c r="F160" s="2">
        <f>IFERROR(VLOOKUP(E160,Courses!$A:$C,2,FALSE),"")</f>
        <v/>
      </c>
      <c r="G160" s="2">
        <f>IFERROR(VLOOKUP(E160,Courses!$A:$C,3,FALSE),0)</f>
        <v/>
      </c>
      <c r="H160" s="2" t="inlineStr">
        <is>
          <t>A</t>
        </is>
      </c>
      <c r="I160" s="2" t="n">
        <v>96</v>
      </c>
      <c r="J160" s="2">
        <f>IFERROR(VLOOKUP(H160,'Grade Scale'!$A:$B,2,FALSE),0)</f>
        <v/>
      </c>
      <c r="K160" s="2">
        <f>J160*G160</f>
        <v/>
      </c>
      <c r="L160" s="2">
        <f>IF(H160="F",0,G160)</f>
        <v/>
      </c>
    </row>
    <row r="161">
      <c r="A161" s="2" t="inlineStr">
        <is>
          <t>m250201</t>
        </is>
      </c>
      <c r="B161" s="2">
        <f>IFERROR(VLOOKUP(A161,Students!$A:$B,2,FALSE),"")</f>
        <v/>
      </c>
      <c r="C161" s="2" t="inlineStr">
        <is>
          <t>Fall 2025</t>
        </is>
      </c>
      <c r="D161" s="2" t="inlineStr">
        <is>
          <t>Semester 2</t>
        </is>
      </c>
      <c r="E161" s="2" t="inlineStr">
        <is>
          <t>MTH 130</t>
        </is>
      </c>
      <c r="F161" s="2">
        <f>IFERROR(VLOOKUP(E161,Courses!$A:$C,2,FALSE),"")</f>
        <v/>
      </c>
      <c r="G161" s="2">
        <f>IFERROR(VLOOKUP(E161,Courses!$A:$C,3,FALSE),0)</f>
        <v/>
      </c>
      <c r="H161" s="2" t="inlineStr">
        <is>
          <t>A-</t>
        </is>
      </c>
      <c r="I161" s="2" t="n">
        <v>90</v>
      </c>
      <c r="J161" s="2">
        <f>IFERROR(VLOOKUP(H161,'Grade Scale'!$A:$B,2,FALSE),0)</f>
        <v/>
      </c>
      <c r="K161" s="2">
        <f>J161*G161</f>
        <v/>
      </c>
      <c r="L161" s="2">
        <f>IF(H161="F",0,G161)</f>
        <v/>
      </c>
    </row>
    <row r="162">
      <c r="A162" s="2" t="inlineStr">
        <is>
          <t>m250201</t>
        </is>
      </c>
      <c r="B162" s="2">
        <f>IFERROR(VLOOKUP(A162,Students!$A:$B,2,FALSE),"")</f>
        <v/>
      </c>
      <c r="C162" s="2" t="inlineStr">
        <is>
          <t>Spring 2026</t>
        </is>
      </c>
      <c r="D162" s="2" t="inlineStr">
        <is>
          <t>Semester 3</t>
        </is>
      </c>
      <c r="E162" s="2" t="inlineStr">
        <is>
          <t>CSE 210</t>
        </is>
      </c>
      <c r="F162" s="2">
        <f>IFERROR(VLOOKUP(E162,Courses!$A:$C,2,FALSE),"")</f>
        <v/>
      </c>
      <c r="G162" s="2">
        <f>IFERROR(VLOOKUP(E162,Courses!$A:$C,3,FALSE),0)</f>
        <v/>
      </c>
      <c r="H162" s="2" t="inlineStr">
        <is>
          <t>B+</t>
        </is>
      </c>
      <c r="I162" s="2" t="n">
        <v>87</v>
      </c>
      <c r="J162" s="2">
        <f>IFERROR(VLOOKUP(H162,'Grade Scale'!$A:$B,2,FALSE),0)</f>
        <v/>
      </c>
      <c r="K162" s="2">
        <f>J162*G162</f>
        <v/>
      </c>
      <c r="L162" s="2">
        <f>IF(H162="F",0,G162)</f>
        <v/>
      </c>
    </row>
    <row r="163">
      <c r="A163" s="2" t="inlineStr">
        <is>
          <t>m250201</t>
        </is>
      </c>
      <c r="B163" s="2">
        <f>IFERROR(VLOOKUP(A163,Students!$A:$B,2,FALSE),"")</f>
        <v/>
      </c>
      <c r="C163" s="2" t="inlineStr">
        <is>
          <t>Spring 2026</t>
        </is>
      </c>
      <c r="D163" s="2" t="inlineStr">
        <is>
          <t>Semester 3</t>
        </is>
      </c>
      <c r="E163" s="2" t="inlineStr">
        <is>
          <t>CSE 220</t>
        </is>
      </c>
      <c r="F163" s="2">
        <f>IFERROR(VLOOKUP(E163,Courses!$A:$C,2,FALSE),"")</f>
        <v/>
      </c>
      <c r="G163" s="2">
        <f>IFERROR(VLOOKUP(E163,Courses!$A:$C,3,FALSE),0)</f>
        <v/>
      </c>
      <c r="H163" s="2" t="inlineStr">
        <is>
          <t>A</t>
        </is>
      </c>
      <c r="I163" s="2" t="n">
        <v>94</v>
      </c>
      <c r="J163" s="2">
        <f>IFERROR(VLOOKUP(H163,'Grade Scale'!$A:$B,2,FALSE),0)</f>
        <v/>
      </c>
      <c r="K163" s="2">
        <f>J163*G163</f>
        <v/>
      </c>
      <c r="L163" s="2">
        <f>IF(H163="F",0,G163)</f>
        <v/>
      </c>
    </row>
    <row r="164">
      <c r="A164" s="2" t="inlineStr">
        <is>
          <t>m250201</t>
        </is>
      </c>
      <c r="B164" s="2">
        <f>IFERROR(VLOOKUP(A164,Students!$A:$B,2,FALSE),"")</f>
        <v/>
      </c>
      <c r="C164" s="2" t="inlineStr">
        <is>
          <t>Spring 2026</t>
        </is>
      </c>
      <c r="D164" s="2" t="inlineStr">
        <is>
          <t>Semester 3</t>
        </is>
      </c>
      <c r="E164" s="2" t="inlineStr">
        <is>
          <t>CSE 230</t>
        </is>
      </c>
      <c r="F164" s="2">
        <f>IFERROR(VLOOKUP(E164,Courses!$A:$C,2,FALSE),"")</f>
        <v/>
      </c>
      <c r="G164" s="2">
        <f>IFERROR(VLOOKUP(E164,Courses!$A:$C,3,FALSE),0)</f>
        <v/>
      </c>
      <c r="H164" s="2" t="inlineStr">
        <is>
          <t>B+</t>
        </is>
      </c>
      <c r="I164" s="2" t="n">
        <v>88</v>
      </c>
      <c r="J164" s="2">
        <f>IFERROR(VLOOKUP(H164,'Grade Scale'!$A:$B,2,FALSE),0)</f>
        <v/>
      </c>
      <c r="K164" s="2">
        <f>J164*G164</f>
        <v/>
      </c>
      <c r="L164" s="2">
        <f>IF(H164="F",0,G164)</f>
        <v/>
      </c>
    </row>
    <row r="165">
      <c r="A165" s="2" t="inlineStr">
        <is>
          <t>m250201</t>
        </is>
      </c>
      <c r="B165" s="2">
        <f>IFERROR(VLOOKUP(A165,Students!$A:$B,2,FALSE),"")</f>
        <v/>
      </c>
      <c r="C165" s="2" t="inlineStr">
        <is>
          <t>Spring 2026</t>
        </is>
      </c>
      <c r="D165" s="2" t="inlineStr">
        <is>
          <t>Semester 3</t>
        </is>
      </c>
      <c r="E165" s="2" t="inlineStr">
        <is>
          <t>CSE 240</t>
        </is>
      </c>
      <c r="F165" s="2">
        <f>IFERROR(VLOOKUP(E165,Courses!$A:$C,2,FALSE),"")</f>
        <v/>
      </c>
      <c r="G165" s="2">
        <f>IFERROR(VLOOKUP(E165,Courses!$A:$C,3,FALSE),0)</f>
        <v/>
      </c>
      <c r="H165" s="2" t="inlineStr">
        <is>
          <t>A-</t>
        </is>
      </c>
      <c r="I165" s="2" t="n">
        <v>92</v>
      </c>
      <c r="J165" s="2">
        <f>IFERROR(VLOOKUP(H165,'Grade Scale'!$A:$B,2,FALSE),0)</f>
        <v/>
      </c>
      <c r="K165" s="2">
        <f>J165*G165</f>
        <v/>
      </c>
      <c r="L165" s="2">
        <f>IF(H165="F",0,G165)</f>
        <v/>
      </c>
    </row>
    <row r="166">
      <c r="A166" s="2" t="inlineStr">
        <is>
          <t>m250201</t>
        </is>
      </c>
      <c r="B166" s="2">
        <f>IFERROR(VLOOKUP(A166,Students!$A:$B,2,FALSE),"")</f>
        <v/>
      </c>
      <c r="C166" s="2" t="inlineStr">
        <is>
          <t>Spring 2026</t>
        </is>
      </c>
      <c r="D166" s="2" t="inlineStr">
        <is>
          <t>Semester 3</t>
        </is>
      </c>
      <c r="E166" s="2" t="inlineStr">
        <is>
          <t>STA 201</t>
        </is>
      </c>
      <c r="F166" s="2">
        <f>IFERROR(VLOOKUP(E166,Courses!$A:$C,2,FALSE),"")</f>
        <v/>
      </c>
      <c r="G166" s="2">
        <f>IFERROR(VLOOKUP(E166,Courses!$A:$C,3,FALSE),0)</f>
        <v/>
      </c>
      <c r="H166" s="2" t="inlineStr">
        <is>
          <t>A</t>
        </is>
      </c>
      <c r="I166" s="2" t="n">
        <v>96</v>
      </c>
      <c r="J166" s="2">
        <f>IFERROR(VLOOKUP(H166,'Grade Scale'!$A:$B,2,FALSE),0)</f>
        <v/>
      </c>
      <c r="K166" s="2">
        <f>J166*G166</f>
        <v/>
      </c>
      <c r="L166" s="2">
        <f>IF(H166="F",0,G166)</f>
        <v/>
      </c>
    </row>
    <row r="167">
      <c r="A167" s="2" t="inlineStr">
        <is>
          <t>m250202</t>
        </is>
      </c>
      <c r="B167" s="2">
        <f>IFERROR(VLOOKUP(A167,Students!$A:$B,2,FALSE),"")</f>
        <v/>
      </c>
      <c r="C167" s="2" t="inlineStr">
        <is>
          <t>Spring 2025</t>
        </is>
      </c>
      <c r="D167" s="2" t="inlineStr">
        <is>
          <t>Semester 1</t>
        </is>
      </c>
      <c r="E167" s="2" t="inlineStr">
        <is>
          <t>MBA 501</t>
        </is>
      </c>
      <c r="F167" s="2">
        <f>IFERROR(VLOOKUP(E167,Courses!$A:$C,2,FALSE),"")</f>
        <v/>
      </c>
      <c r="G167" s="2">
        <f>IFERROR(VLOOKUP(E167,Courses!$A:$C,3,FALSE),0)</f>
        <v/>
      </c>
      <c r="H167" s="2" t="inlineStr">
        <is>
          <t>A-</t>
        </is>
      </c>
      <c r="I167" s="2" t="n">
        <v>91</v>
      </c>
      <c r="J167" s="2">
        <f>IFERROR(VLOOKUP(H167,'Grade Scale'!$A:$B,2,FALSE),0)</f>
        <v/>
      </c>
      <c r="K167" s="2">
        <f>J167*G167</f>
        <v/>
      </c>
      <c r="L167" s="2">
        <f>IF(H167="F",0,G167)</f>
        <v/>
      </c>
    </row>
    <row r="168">
      <c r="A168" s="2" t="inlineStr">
        <is>
          <t>m250202</t>
        </is>
      </c>
      <c r="B168" s="2">
        <f>IFERROR(VLOOKUP(A168,Students!$A:$B,2,FALSE),"")</f>
        <v/>
      </c>
      <c r="C168" s="2" t="inlineStr">
        <is>
          <t>Spring 2025</t>
        </is>
      </c>
      <c r="D168" s="2" t="inlineStr">
        <is>
          <t>Semester 1</t>
        </is>
      </c>
      <c r="E168" s="2" t="inlineStr">
        <is>
          <t>MBA 510</t>
        </is>
      </c>
      <c r="F168" s="2">
        <f>IFERROR(VLOOKUP(E168,Courses!$A:$C,2,FALSE),"")</f>
        <v/>
      </c>
      <c r="G168" s="2">
        <f>IFERROR(VLOOKUP(E168,Courses!$A:$C,3,FALSE),0)</f>
        <v/>
      </c>
      <c r="H168" s="2" t="inlineStr">
        <is>
          <t>A</t>
        </is>
      </c>
      <c r="I168" s="2" t="n">
        <v>94</v>
      </c>
      <c r="J168" s="2">
        <f>IFERROR(VLOOKUP(H168,'Grade Scale'!$A:$B,2,FALSE),0)</f>
        <v/>
      </c>
      <c r="K168" s="2">
        <f>J168*G168</f>
        <v/>
      </c>
      <c r="L168" s="2">
        <f>IF(H168="F",0,G168)</f>
        <v/>
      </c>
    </row>
    <row r="169">
      <c r="A169" s="2" t="inlineStr">
        <is>
          <t>m250202</t>
        </is>
      </c>
      <c r="B169" s="2">
        <f>IFERROR(VLOOKUP(A169,Students!$A:$B,2,FALSE),"")</f>
        <v/>
      </c>
      <c r="C169" s="2" t="inlineStr">
        <is>
          <t>Spring 2025</t>
        </is>
      </c>
      <c r="D169" s="2" t="inlineStr">
        <is>
          <t>Semester 1</t>
        </is>
      </c>
      <c r="E169" s="2" t="inlineStr">
        <is>
          <t>MBA 520</t>
        </is>
      </c>
      <c r="F169" s="2">
        <f>IFERROR(VLOOKUP(E169,Courses!$A:$C,2,FALSE),"")</f>
        <v/>
      </c>
      <c r="G169" s="2">
        <f>IFERROR(VLOOKUP(E169,Courses!$A:$C,3,FALSE),0)</f>
        <v/>
      </c>
      <c r="H169" s="2" t="inlineStr">
        <is>
          <t>A-</t>
        </is>
      </c>
      <c r="I169" s="2" t="n">
        <v>90</v>
      </c>
      <c r="J169" s="2">
        <f>IFERROR(VLOOKUP(H169,'Grade Scale'!$A:$B,2,FALSE),0)</f>
        <v/>
      </c>
      <c r="K169" s="2">
        <f>J169*G169</f>
        <v/>
      </c>
      <c r="L169" s="2">
        <f>IF(H169="F",0,G169)</f>
        <v/>
      </c>
    </row>
    <row r="170">
      <c r="A170" s="2" t="inlineStr">
        <is>
          <t>m250202</t>
        </is>
      </c>
      <c r="B170" s="2">
        <f>IFERROR(VLOOKUP(A170,Students!$A:$B,2,FALSE),"")</f>
        <v/>
      </c>
      <c r="C170" s="2" t="inlineStr">
        <is>
          <t>Spring 2025</t>
        </is>
      </c>
      <c r="D170" s="2" t="inlineStr">
        <is>
          <t>Semester 1</t>
        </is>
      </c>
      <c r="E170" s="2" t="inlineStr">
        <is>
          <t>MBA 530</t>
        </is>
      </c>
      <c r="F170" s="2">
        <f>IFERROR(VLOOKUP(E170,Courses!$A:$C,2,FALSE),"")</f>
        <v/>
      </c>
      <c r="G170" s="2">
        <f>IFERROR(VLOOKUP(E170,Courses!$A:$C,3,FALSE),0)</f>
        <v/>
      </c>
      <c r="H170" s="2" t="inlineStr">
        <is>
          <t>B+</t>
        </is>
      </c>
      <c r="I170" s="2" t="n">
        <v>87</v>
      </c>
      <c r="J170" s="2">
        <f>IFERROR(VLOOKUP(H170,'Grade Scale'!$A:$B,2,FALSE),0)</f>
        <v/>
      </c>
      <c r="K170" s="2">
        <f>J170*G170</f>
        <v/>
      </c>
      <c r="L170" s="2">
        <f>IF(H170="F",0,G170)</f>
        <v/>
      </c>
    </row>
    <row r="171">
      <c r="A171" s="2" t="inlineStr">
        <is>
          <t>m250202</t>
        </is>
      </c>
      <c r="B171" s="2">
        <f>IFERROR(VLOOKUP(A171,Students!$A:$B,2,FALSE),"")</f>
        <v/>
      </c>
      <c r="C171" s="2" t="inlineStr">
        <is>
          <t>Spring 2025</t>
        </is>
      </c>
      <c r="D171" s="2" t="inlineStr">
        <is>
          <t>Semester 1</t>
        </is>
      </c>
      <c r="E171" s="2" t="inlineStr">
        <is>
          <t>MBA 540</t>
        </is>
      </c>
      <c r="F171" s="2">
        <f>IFERROR(VLOOKUP(E171,Courses!$A:$C,2,FALSE),"")</f>
        <v/>
      </c>
      <c r="G171" s="2">
        <f>IFERROR(VLOOKUP(E171,Courses!$A:$C,3,FALSE),0)</f>
        <v/>
      </c>
      <c r="H171" s="2" t="inlineStr">
        <is>
          <t>A-</t>
        </is>
      </c>
      <c r="I171" s="2" t="n">
        <v>92</v>
      </c>
      <c r="J171" s="2">
        <f>IFERROR(VLOOKUP(H171,'Grade Scale'!$A:$B,2,FALSE),0)</f>
        <v/>
      </c>
      <c r="K171" s="2">
        <f>J171*G171</f>
        <v/>
      </c>
      <c r="L171" s="2">
        <f>IF(H171="F",0,G171)</f>
        <v/>
      </c>
    </row>
    <row r="172">
      <c r="A172" s="2" t="inlineStr">
        <is>
          <t>m250202</t>
        </is>
      </c>
      <c r="B172" s="2">
        <f>IFERROR(VLOOKUP(A172,Students!$A:$B,2,FALSE),"")</f>
        <v/>
      </c>
      <c r="C172" s="2" t="inlineStr">
        <is>
          <t>Fall 2025</t>
        </is>
      </c>
      <c r="D172" s="2" t="inlineStr">
        <is>
          <t>Semester 2</t>
        </is>
      </c>
      <c r="E172" s="2" t="inlineStr">
        <is>
          <t>MBA 550</t>
        </is>
      </c>
      <c r="F172" s="2">
        <f>IFERROR(VLOOKUP(E172,Courses!$A:$C,2,FALSE),"")</f>
        <v/>
      </c>
      <c r="G172" s="2">
        <f>IFERROR(VLOOKUP(E172,Courses!$A:$C,3,FALSE),0)</f>
        <v/>
      </c>
      <c r="H172" s="2" t="inlineStr">
        <is>
          <t>B+</t>
        </is>
      </c>
      <c r="I172" s="2" t="n">
        <v>89</v>
      </c>
      <c r="J172" s="2">
        <f>IFERROR(VLOOKUP(H172,'Grade Scale'!$A:$B,2,FALSE),0)</f>
        <v/>
      </c>
      <c r="K172" s="2">
        <f>J172*G172</f>
        <v/>
      </c>
      <c r="L172" s="2">
        <f>IF(H172="F",0,G172)</f>
        <v/>
      </c>
    </row>
    <row r="173">
      <c r="A173" s="2" t="inlineStr">
        <is>
          <t>m250202</t>
        </is>
      </c>
      <c r="B173" s="2">
        <f>IFERROR(VLOOKUP(A173,Students!$A:$B,2,FALSE),"")</f>
        <v/>
      </c>
      <c r="C173" s="2" t="inlineStr">
        <is>
          <t>Fall 2025</t>
        </is>
      </c>
      <c r="D173" s="2" t="inlineStr">
        <is>
          <t>Semester 2</t>
        </is>
      </c>
      <c r="E173" s="2" t="inlineStr">
        <is>
          <t>MBA 560</t>
        </is>
      </c>
      <c r="F173" s="2">
        <f>IFERROR(VLOOKUP(E173,Courses!$A:$C,2,FALSE),"")</f>
        <v/>
      </c>
      <c r="G173" s="2">
        <f>IFERROR(VLOOKUP(E173,Courses!$A:$C,3,FALSE),0)</f>
        <v/>
      </c>
      <c r="H173" s="2" t="inlineStr">
        <is>
          <t>A</t>
        </is>
      </c>
      <c r="I173" s="2" t="n">
        <v>100</v>
      </c>
      <c r="J173" s="2">
        <f>IFERROR(VLOOKUP(H173,'Grade Scale'!$A:$B,2,FALSE),0)</f>
        <v/>
      </c>
      <c r="K173" s="2">
        <f>J173*G173</f>
        <v/>
      </c>
      <c r="L173" s="2">
        <f>IF(H173="F",0,G173)</f>
        <v/>
      </c>
    </row>
    <row r="174">
      <c r="A174" s="2" t="inlineStr">
        <is>
          <t>m250202</t>
        </is>
      </c>
      <c r="B174" s="2">
        <f>IFERROR(VLOOKUP(A174,Students!$A:$B,2,FALSE),"")</f>
        <v/>
      </c>
      <c r="C174" s="2" t="inlineStr">
        <is>
          <t>Fall 2025</t>
        </is>
      </c>
      <c r="D174" s="2" t="inlineStr">
        <is>
          <t>Semester 2</t>
        </is>
      </c>
      <c r="E174" s="2" t="inlineStr">
        <is>
          <t>MBA 570</t>
        </is>
      </c>
      <c r="F174" s="2">
        <f>IFERROR(VLOOKUP(E174,Courses!$A:$C,2,FALSE),"")</f>
        <v/>
      </c>
      <c r="G174" s="2">
        <f>IFERROR(VLOOKUP(E174,Courses!$A:$C,3,FALSE),0)</f>
        <v/>
      </c>
      <c r="H174" s="2" t="inlineStr">
        <is>
          <t>A-</t>
        </is>
      </c>
      <c r="I174" s="2" t="n">
        <v>92</v>
      </c>
      <c r="J174" s="2">
        <f>IFERROR(VLOOKUP(H174,'Grade Scale'!$A:$B,2,FALSE),0)</f>
        <v/>
      </c>
      <c r="K174" s="2">
        <f>J174*G174</f>
        <v/>
      </c>
      <c r="L174" s="2">
        <f>IF(H174="F",0,G174)</f>
        <v/>
      </c>
    </row>
    <row r="175">
      <c r="A175" s="2" t="inlineStr">
        <is>
          <t>m250202</t>
        </is>
      </c>
      <c r="B175" s="2">
        <f>IFERROR(VLOOKUP(A175,Students!$A:$B,2,FALSE),"")</f>
        <v/>
      </c>
      <c r="C175" s="2" t="inlineStr">
        <is>
          <t>Fall 2025</t>
        </is>
      </c>
      <c r="D175" s="2" t="inlineStr">
        <is>
          <t>Semester 2</t>
        </is>
      </c>
      <c r="E175" s="2" t="inlineStr">
        <is>
          <t>MBA 580</t>
        </is>
      </c>
      <c r="F175" s="2">
        <f>IFERROR(VLOOKUP(E175,Courses!$A:$C,2,FALSE),"")</f>
        <v/>
      </c>
      <c r="G175" s="2">
        <f>IFERROR(VLOOKUP(E175,Courses!$A:$C,3,FALSE),0)</f>
        <v/>
      </c>
      <c r="H175" s="2" t="inlineStr">
        <is>
          <t>A-</t>
        </is>
      </c>
      <c r="I175" s="2" t="n">
        <v>91</v>
      </c>
      <c r="J175" s="2">
        <f>IFERROR(VLOOKUP(H175,'Grade Scale'!$A:$B,2,FALSE),0)</f>
        <v/>
      </c>
      <c r="K175" s="2">
        <f>J175*G175</f>
        <v/>
      </c>
      <c r="L175" s="2">
        <f>IF(H175="F",0,G175)</f>
        <v/>
      </c>
    </row>
    <row r="176">
      <c r="A176" s="2" t="inlineStr">
        <is>
          <t>m250202</t>
        </is>
      </c>
      <c r="B176" s="2">
        <f>IFERROR(VLOOKUP(A176,Students!$A:$B,2,FALSE),"")</f>
        <v/>
      </c>
      <c r="C176" s="2" t="inlineStr">
        <is>
          <t>Fall 2025</t>
        </is>
      </c>
      <c r="D176" s="2" t="inlineStr">
        <is>
          <t>Semester 2</t>
        </is>
      </c>
      <c r="E176" s="2" t="inlineStr">
        <is>
          <t>MBA 590</t>
        </is>
      </c>
      <c r="F176" s="2">
        <f>IFERROR(VLOOKUP(E176,Courses!$A:$C,2,FALSE),"")</f>
        <v/>
      </c>
      <c r="G176" s="2">
        <f>IFERROR(VLOOKUP(E176,Courses!$A:$C,3,FALSE),0)</f>
        <v/>
      </c>
      <c r="H176" s="2" t="inlineStr">
        <is>
          <t>A-</t>
        </is>
      </c>
      <c r="I176" s="2" t="n">
        <v>90</v>
      </c>
      <c r="J176" s="2">
        <f>IFERROR(VLOOKUP(H176,'Grade Scale'!$A:$B,2,FALSE),0)</f>
        <v/>
      </c>
      <c r="K176" s="2">
        <f>J176*G176</f>
        <v/>
      </c>
      <c r="L176" s="2">
        <f>IF(H176="F",0,G176)</f>
        <v/>
      </c>
    </row>
    <row r="177">
      <c r="A177" s="2" t="inlineStr">
        <is>
          <t>m250202</t>
        </is>
      </c>
      <c r="B177" s="2">
        <f>IFERROR(VLOOKUP(A177,Students!$A:$B,2,FALSE),"")</f>
        <v/>
      </c>
      <c r="C177" s="2" t="inlineStr">
        <is>
          <t>Spring 2026</t>
        </is>
      </c>
      <c r="D177" s="2" t="inlineStr">
        <is>
          <t>Semester 3</t>
        </is>
      </c>
      <c r="E177" s="2" t="inlineStr">
        <is>
          <t>MBA 610</t>
        </is>
      </c>
      <c r="F177" s="2">
        <f>IFERROR(VLOOKUP(E177,Courses!$A:$C,2,FALSE),"")</f>
        <v/>
      </c>
      <c r="G177" s="2">
        <f>IFERROR(VLOOKUP(E177,Courses!$A:$C,3,FALSE),0)</f>
        <v/>
      </c>
      <c r="H177" s="2" t="inlineStr">
        <is>
          <t>A</t>
        </is>
      </c>
      <c r="I177" s="2" t="n">
        <v>95</v>
      </c>
      <c r="J177" s="2">
        <f>IFERROR(VLOOKUP(H177,'Grade Scale'!$A:$B,2,FALSE),0)</f>
        <v/>
      </c>
      <c r="K177" s="2">
        <f>J177*G177</f>
        <v/>
      </c>
      <c r="L177" s="2">
        <f>IF(H177="F",0,G177)</f>
        <v/>
      </c>
    </row>
    <row r="178">
      <c r="A178" s="2" t="inlineStr">
        <is>
          <t>m250202</t>
        </is>
      </c>
      <c r="B178" s="2">
        <f>IFERROR(VLOOKUP(A178,Students!$A:$B,2,FALSE),"")</f>
        <v/>
      </c>
      <c r="C178" s="2" t="inlineStr">
        <is>
          <t>Spring 2026</t>
        </is>
      </c>
      <c r="D178" s="2" t="inlineStr">
        <is>
          <t>Semester 3</t>
        </is>
      </c>
      <c r="E178" s="2" t="inlineStr">
        <is>
          <t>MBA 620</t>
        </is>
      </c>
      <c r="F178" s="2">
        <f>IFERROR(VLOOKUP(E178,Courses!$A:$C,2,FALSE),"")</f>
        <v/>
      </c>
      <c r="G178" s="2">
        <f>IFERROR(VLOOKUP(E178,Courses!$A:$C,3,FALSE),0)</f>
        <v/>
      </c>
      <c r="H178" s="2" t="inlineStr">
        <is>
          <t>A</t>
        </is>
      </c>
      <c r="I178" s="2" t="n">
        <v>95</v>
      </c>
      <c r="J178" s="2">
        <f>IFERROR(VLOOKUP(H178,'Grade Scale'!$A:$B,2,FALSE),0)</f>
        <v/>
      </c>
      <c r="K178" s="2">
        <f>J178*G178</f>
        <v/>
      </c>
      <c r="L178" s="2">
        <f>IF(H178="F",0,G178)</f>
        <v/>
      </c>
    </row>
    <row r="179">
      <c r="A179" s="2" t="inlineStr">
        <is>
          <t>m250202</t>
        </is>
      </c>
      <c r="B179" s="2">
        <f>IFERROR(VLOOKUP(A179,Students!$A:$B,2,FALSE),"")</f>
        <v/>
      </c>
      <c r="C179" s="2" t="inlineStr">
        <is>
          <t>Spring 2026</t>
        </is>
      </c>
      <c r="D179" s="2" t="inlineStr">
        <is>
          <t>Semester 3</t>
        </is>
      </c>
      <c r="E179" s="2" t="inlineStr">
        <is>
          <t>MBA 630</t>
        </is>
      </c>
      <c r="F179" s="2">
        <f>IFERROR(VLOOKUP(E179,Courses!$A:$C,2,FALSE),"")</f>
        <v/>
      </c>
      <c r="G179" s="2">
        <f>IFERROR(VLOOKUP(E179,Courses!$A:$C,3,FALSE),0)</f>
        <v/>
      </c>
      <c r="H179" s="2" t="inlineStr">
        <is>
          <t>A-</t>
        </is>
      </c>
      <c r="I179" s="2" t="n">
        <v>92</v>
      </c>
      <c r="J179" s="2">
        <f>IFERROR(VLOOKUP(H179,'Grade Scale'!$A:$B,2,FALSE),0)</f>
        <v/>
      </c>
      <c r="K179" s="2">
        <f>J179*G179</f>
        <v/>
      </c>
      <c r="L179" s="2">
        <f>IF(H179="F",0,G179)</f>
        <v/>
      </c>
    </row>
    <row r="180">
      <c r="A180" s="2" t="inlineStr">
        <is>
          <t>m250202</t>
        </is>
      </c>
      <c r="B180" s="2">
        <f>IFERROR(VLOOKUP(A180,Students!$A:$B,2,FALSE),"")</f>
        <v/>
      </c>
      <c r="C180" s="2" t="inlineStr">
        <is>
          <t>Spring 2026</t>
        </is>
      </c>
      <c r="D180" s="2" t="inlineStr">
        <is>
          <t>Semester 3</t>
        </is>
      </c>
      <c r="E180" s="2" t="inlineStr">
        <is>
          <t>MBA 640</t>
        </is>
      </c>
      <c r="F180" s="2">
        <f>IFERROR(VLOOKUP(E180,Courses!$A:$C,2,FALSE),"")</f>
        <v/>
      </c>
      <c r="G180" s="2">
        <f>IFERROR(VLOOKUP(E180,Courses!$A:$C,3,FALSE),0)</f>
        <v/>
      </c>
      <c r="H180" s="2" t="inlineStr">
        <is>
          <t>B-</t>
        </is>
      </c>
      <c r="I180" s="2" t="n">
        <v>82</v>
      </c>
      <c r="J180" s="2">
        <f>IFERROR(VLOOKUP(H180,'Grade Scale'!$A:$B,2,FALSE),0)</f>
        <v/>
      </c>
      <c r="K180" s="2">
        <f>J180*G180</f>
        <v/>
      </c>
      <c r="L180" s="2">
        <f>IF(H180="F",0,G180)</f>
        <v/>
      </c>
    </row>
    <row r="181">
      <c r="A181" s="2" t="inlineStr">
        <is>
          <t>m250202</t>
        </is>
      </c>
      <c r="B181" s="2">
        <f>IFERROR(VLOOKUP(A181,Students!$A:$B,2,FALSE),"")</f>
        <v/>
      </c>
      <c r="C181" s="2" t="inlineStr">
        <is>
          <t>Spring 2026</t>
        </is>
      </c>
      <c r="D181" s="2" t="inlineStr">
        <is>
          <t>Semester 3</t>
        </is>
      </c>
      <c r="E181" s="2" t="inlineStr">
        <is>
          <t>MBA 690</t>
        </is>
      </c>
      <c r="F181" s="2">
        <f>IFERROR(VLOOKUP(E181,Courses!$A:$C,2,FALSE),"")</f>
        <v/>
      </c>
      <c r="G181" s="2">
        <f>IFERROR(VLOOKUP(E181,Courses!$A:$C,3,FALSE),0)</f>
        <v/>
      </c>
      <c r="H181" s="2" t="inlineStr">
        <is>
          <t>A-</t>
        </is>
      </c>
      <c r="I181" s="2" t="n">
        <v>90</v>
      </c>
      <c r="J181" s="2">
        <f>IFERROR(VLOOKUP(H181,'Grade Scale'!$A:$B,2,FALSE),0)</f>
        <v/>
      </c>
      <c r="K181" s="2">
        <f>J181*G181</f>
        <v/>
      </c>
      <c r="L181" s="2">
        <f>IF(H181="F",0,G181)</f>
        <v/>
      </c>
    </row>
    <row r="182">
      <c r="A182" s="2" t="inlineStr">
        <is>
          <t>m250203</t>
        </is>
      </c>
      <c r="B182" s="2">
        <f>IFERROR(VLOOKUP(A182,Students!$A:$B,2,FALSE),"")</f>
        <v/>
      </c>
      <c r="C182" s="2" t="inlineStr">
        <is>
          <t>Spring 2025</t>
        </is>
      </c>
      <c r="D182" s="2" t="inlineStr">
        <is>
          <t>Semester 1</t>
        </is>
      </c>
      <c r="E182" s="2" t="inlineStr">
        <is>
          <t>TAM 530</t>
        </is>
      </c>
      <c r="F182" s="2">
        <f>IFERROR(VLOOKUP(E182,Courses!$A:$C,2,FALSE),"")</f>
        <v/>
      </c>
      <c r="G182" s="2">
        <f>IFERROR(VLOOKUP(E182,Courses!$A:$C,3,FALSE),0)</f>
        <v/>
      </c>
      <c r="H182" s="2" t="inlineStr">
        <is>
          <t>C</t>
        </is>
      </c>
      <c r="I182" s="2" t="n">
        <v>74</v>
      </c>
      <c r="J182" s="2">
        <f>IFERROR(VLOOKUP(H182,'Grade Scale'!$A:$B,2,FALSE),0)</f>
        <v/>
      </c>
      <c r="K182" s="2">
        <f>J182*G182</f>
        <v/>
      </c>
      <c r="L182" s="2">
        <f>IF(H182="F",0,G182)</f>
        <v/>
      </c>
    </row>
    <row r="183">
      <c r="A183" s="2" t="inlineStr">
        <is>
          <t>m250203</t>
        </is>
      </c>
      <c r="B183" s="2">
        <f>IFERROR(VLOOKUP(A183,Students!$A:$B,2,FALSE),"")</f>
        <v/>
      </c>
      <c r="C183" s="2" t="inlineStr">
        <is>
          <t>Spring 2025</t>
        </is>
      </c>
      <c r="D183" s="2" t="inlineStr">
        <is>
          <t>Semester 1</t>
        </is>
      </c>
      <c r="E183" s="2" t="inlineStr">
        <is>
          <t>TGM 586</t>
        </is>
      </c>
      <c r="F183" s="2">
        <f>IFERROR(VLOOKUP(E183,Courses!$A:$C,2,FALSE),"")</f>
        <v/>
      </c>
      <c r="G183" s="2">
        <f>IFERROR(VLOOKUP(E183,Courses!$A:$C,3,FALSE),0)</f>
        <v/>
      </c>
      <c r="H183" s="2" t="inlineStr">
        <is>
          <t>B+</t>
        </is>
      </c>
      <c r="I183" s="2" t="n">
        <v>87</v>
      </c>
      <c r="J183" s="2">
        <f>IFERROR(VLOOKUP(H183,'Grade Scale'!$A:$B,2,FALSE),0)</f>
        <v/>
      </c>
      <c r="K183" s="2">
        <f>J183*G183</f>
        <v/>
      </c>
      <c r="L183" s="2">
        <f>IF(H183="F",0,G183)</f>
        <v/>
      </c>
    </row>
    <row r="184">
      <c r="A184" s="2" t="inlineStr">
        <is>
          <t>m250203</t>
        </is>
      </c>
      <c r="B184" s="2">
        <f>IFERROR(VLOOKUP(A184,Students!$A:$B,2,FALSE),"")</f>
        <v/>
      </c>
      <c r="C184" s="2" t="inlineStr">
        <is>
          <t>Spring 2025</t>
        </is>
      </c>
      <c r="D184" s="2" t="inlineStr">
        <is>
          <t>Semester 1</t>
        </is>
      </c>
      <c r="E184" s="2" t="inlineStr">
        <is>
          <t>TAM 557</t>
        </is>
      </c>
      <c r="F184" s="2">
        <f>IFERROR(VLOOKUP(E184,Courses!$A:$C,2,FALSE),"")</f>
        <v/>
      </c>
      <c r="G184" s="2">
        <f>IFERROR(VLOOKUP(E184,Courses!$A:$C,3,FALSE),0)</f>
        <v/>
      </c>
      <c r="H184" s="2" t="inlineStr">
        <is>
          <t>B+</t>
        </is>
      </c>
      <c r="I184" s="2" t="n">
        <v>88</v>
      </c>
      <c r="J184" s="2">
        <f>IFERROR(VLOOKUP(H184,'Grade Scale'!$A:$B,2,FALSE),0)</f>
        <v/>
      </c>
      <c r="K184" s="2">
        <f>J184*G184</f>
        <v/>
      </c>
      <c r="L184" s="2">
        <f>IF(H184="F",0,G184)</f>
        <v/>
      </c>
    </row>
    <row r="185">
      <c r="A185" s="2" t="inlineStr">
        <is>
          <t>m250203</t>
        </is>
      </c>
      <c r="B185" s="2">
        <f>IFERROR(VLOOKUP(A185,Students!$A:$B,2,FALSE),"")</f>
        <v/>
      </c>
      <c r="C185" s="2" t="inlineStr">
        <is>
          <t>Spring 2025</t>
        </is>
      </c>
      <c r="D185" s="2" t="inlineStr">
        <is>
          <t>Semester 1</t>
        </is>
      </c>
      <c r="E185" s="2" t="inlineStr">
        <is>
          <t>TAM 542</t>
        </is>
      </c>
      <c r="F185" s="2">
        <f>IFERROR(VLOOKUP(E185,Courses!$A:$C,2,FALSE),"")</f>
        <v/>
      </c>
      <c r="G185" s="2">
        <f>IFERROR(VLOOKUP(E185,Courses!$A:$C,3,FALSE),0)</f>
        <v/>
      </c>
      <c r="H185" s="2" t="inlineStr">
        <is>
          <t>A</t>
        </is>
      </c>
      <c r="I185" s="2" t="n">
        <v>93</v>
      </c>
      <c r="J185" s="2">
        <f>IFERROR(VLOOKUP(H185,'Grade Scale'!$A:$B,2,FALSE),0)</f>
        <v/>
      </c>
      <c r="K185" s="2">
        <f>J185*G185</f>
        <v/>
      </c>
      <c r="L185" s="2">
        <f>IF(H185="F",0,G185)</f>
        <v/>
      </c>
    </row>
    <row r="186">
      <c r="A186" s="2" t="inlineStr">
        <is>
          <t>m250203</t>
        </is>
      </c>
      <c r="B186" s="2">
        <f>IFERROR(VLOOKUP(A186,Students!$A:$B,2,FALSE),"")</f>
        <v/>
      </c>
      <c r="C186" s="2" t="inlineStr">
        <is>
          <t>Spring 2025</t>
        </is>
      </c>
      <c r="D186" s="2" t="inlineStr">
        <is>
          <t>Semester 1</t>
        </is>
      </c>
      <c r="E186" s="2" t="inlineStr">
        <is>
          <t>TAM 511</t>
        </is>
      </c>
      <c r="F186" s="2">
        <f>IFERROR(VLOOKUP(E186,Courses!$A:$C,2,FALSE),"")</f>
        <v/>
      </c>
      <c r="G186" s="2">
        <f>IFERROR(VLOOKUP(E186,Courses!$A:$C,3,FALSE),0)</f>
        <v/>
      </c>
      <c r="H186" s="2" t="inlineStr">
        <is>
          <t>B</t>
        </is>
      </c>
      <c r="I186" s="2" t="n">
        <v>86</v>
      </c>
      <c r="J186" s="2">
        <f>IFERROR(VLOOKUP(H186,'Grade Scale'!$A:$B,2,FALSE),0)</f>
        <v/>
      </c>
      <c r="K186" s="2">
        <f>J186*G186</f>
        <v/>
      </c>
      <c r="L186" s="2">
        <f>IF(H186="F",0,G186)</f>
        <v/>
      </c>
    </row>
    <row r="187">
      <c r="A187" s="2" t="inlineStr">
        <is>
          <t>m250203</t>
        </is>
      </c>
      <c r="B187" s="2">
        <f>IFERROR(VLOOKUP(A187,Students!$A:$B,2,FALSE),"")</f>
        <v/>
      </c>
      <c r="C187" s="2" t="inlineStr">
        <is>
          <t>Fall 2025</t>
        </is>
      </c>
      <c r="D187" s="2" t="inlineStr">
        <is>
          <t>Semester 2</t>
        </is>
      </c>
      <c r="E187" s="2" t="inlineStr">
        <is>
          <t>IAL 503</t>
        </is>
      </c>
      <c r="F187" s="2">
        <f>IFERROR(VLOOKUP(E187,Courses!$A:$C,2,FALSE),"")</f>
        <v/>
      </c>
      <c r="G187" s="2">
        <f>IFERROR(VLOOKUP(E187,Courses!$A:$C,3,FALSE),0)</f>
        <v/>
      </c>
      <c r="H187" s="2" t="inlineStr">
        <is>
          <t>B-</t>
        </is>
      </c>
      <c r="I187" s="2" t="n">
        <v>82</v>
      </c>
      <c r="J187" s="2">
        <f>IFERROR(VLOOKUP(H187,'Grade Scale'!$A:$B,2,FALSE),0)</f>
        <v/>
      </c>
      <c r="K187" s="2">
        <f>J187*G187</f>
        <v/>
      </c>
      <c r="L187" s="2">
        <f>IF(H187="F",0,G187)</f>
        <v/>
      </c>
    </row>
    <row r="188">
      <c r="A188" s="2" t="inlineStr">
        <is>
          <t>m250203</t>
        </is>
      </c>
      <c r="B188" s="2">
        <f>IFERROR(VLOOKUP(A188,Students!$A:$B,2,FALSE),"")</f>
        <v/>
      </c>
      <c r="C188" s="2" t="inlineStr">
        <is>
          <t>Fall 2025</t>
        </is>
      </c>
      <c r="D188" s="2" t="inlineStr">
        <is>
          <t>Semester 2</t>
        </is>
      </c>
      <c r="E188" s="2" t="inlineStr">
        <is>
          <t>FIN 560</t>
        </is>
      </c>
      <c r="F188" s="2">
        <f>IFERROR(VLOOKUP(E188,Courses!$A:$C,2,FALSE),"")</f>
        <v/>
      </c>
      <c r="G188" s="2">
        <f>IFERROR(VLOOKUP(E188,Courses!$A:$C,3,FALSE),0)</f>
        <v/>
      </c>
      <c r="H188" s="2" t="inlineStr">
        <is>
          <t>C</t>
        </is>
      </c>
      <c r="I188" s="2" t="n">
        <v>74</v>
      </c>
      <c r="J188" s="2">
        <f>IFERROR(VLOOKUP(H188,'Grade Scale'!$A:$B,2,FALSE),0)</f>
        <v/>
      </c>
      <c r="K188" s="2">
        <f>J188*G188</f>
        <v/>
      </c>
      <c r="L188" s="2">
        <f>IF(H188="F",0,G188)</f>
        <v/>
      </c>
    </row>
    <row r="189">
      <c r="A189" s="2" t="inlineStr">
        <is>
          <t>m250203</t>
        </is>
      </c>
      <c r="B189" s="2">
        <f>IFERROR(VLOOKUP(A189,Students!$A:$B,2,FALSE),"")</f>
        <v/>
      </c>
      <c r="C189" s="2" t="inlineStr">
        <is>
          <t>Fall 2025</t>
        </is>
      </c>
      <c r="D189" s="2" t="inlineStr">
        <is>
          <t>Semester 2</t>
        </is>
      </c>
      <c r="E189" s="2" t="inlineStr">
        <is>
          <t>TGM 551</t>
        </is>
      </c>
      <c r="F189" s="2">
        <f>IFERROR(VLOOKUP(E189,Courses!$A:$C,2,FALSE),"")</f>
        <v/>
      </c>
      <c r="G189" s="2">
        <f>IFERROR(VLOOKUP(E189,Courses!$A:$C,3,FALSE),0)</f>
        <v/>
      </c>
      <c r="H189" s="2" t="inlineStr">
        <is>
          <t>B-</t>
        </is>
      </c>
      <c r="I189" s="2" t="n">
        <v>82</v>
      </c>
      <c r="J189" s="2">
        <f>IFERROR(VLOOKUP(H189,'Grade Scale'!$A:$B,2,FALSE),0)</f>
        <v/>
      </c>
      <c r="K189" s="2">
        <f>J189*G189</f>
        <v/>
      </c>
      <c r="L189" s="2">
        <f>IF(H189="F",0,G189)</f>
        <v/>
      </c>
    </row>
    <row r="190">
      <c r="A190" s="2" t="inlineStr">
        <is>
          <t>m250203</t>
        </is>
      </c>
      <c r="B190" s="2">
        <f>IFERROR(VLOOKUP(A190,Students!$A:$B,2,FALSE),"")</f>
        <v/>
      </c>
      <c r="C190" s="2" t="inlineStr">
        <is>
          <t>Fall 2025</t>
        </is>
      </c>
      <c r="D190" s="2" t="inlineStr">
        <is>
          <t>Semester 2</t>
        </is>
      </c>
      <c r="E190" s="2" t="inlineStr">
        <is>
          <t>TAM 505</t>
        </is>
      </c>
      <c r="F190" s="2">
        <f>IFERROR(VLOOKUP(E190,Courses!$A:$C,2,FALSE),"")</f>
        <v/>
      </c>
      <c r="G190" s="2">
        <f>IFERROR(VLOOKUP(E190,Courses!$A:$C,3,FALSE),0)</f>
        <v/>
      </c>
      <c r="H190" s="2" t="inlineStr">
        <is>
          <t>D+</t>
        </is>
      </c>
      <c r="I190" s="2" t="n">
        <v>69</v>
      </c>
      <c r="J190" s="2">
        <f>IFERROR(VLOOKUP(H190,'Grade Scale'!$A:$B,2,FALSE),0)</f>
        <v/>
      </c>
      <c r="K190" s="2">
        <f>J190*G190</f>
        <v/>
      </c>
      <c r="L190" s="2">
        <f>IF(H190="F",0,G190)</f>
        <v/>
      </c>
    </row>
    <row r="191">
      <c r="A191" s="2" t="inlineStr">
        <is>
          <t>m250203</t>
        </is>
      </c>
      <c r="B191" s="2">
        <f>IFERROR(VLOOKUP(A191,Students!$A:$B,2,FALSE),"")</f>
        <v/>
      </c>
      <c r="C191" s="2" t="inlineStr">
        <is>
          <t>Fall 2025</t>
        </is>
      </c>
      <c r="D191" s="2" t="inlineStr">
        <is>
          <t>Semester 2</t>
        </is>
      </c>
      <c r="E191" s="2" t="inlineStr">
        <is>
          <t>TGM 507</t>
        </is>
      </c>
      <c r="F191" s="2">
        <f>IFERROR(VLOOKUP(E191,Courses!$A:$C,2,FALSE),"")</f>
        <v/>
      </c>
      <c r="G191" s="2">
        <f>IFERROR(VLOOKUP(E191,Courses!$A:$C,3,FALSE),0)</f>
        <v/>
      </c>
      <c r="H191" s="2" t="inlineStr">
        <is>
          <t>B-</t>
        </is>
      </c>
      <c r="I191" s="2" t="n">
        <v>82</v>
      </c>
      <c r="J191" s="2">
        <f>IFERROR(VLOOKUP(H191,'Grade Scale'!$A:$B,2,FALSE),0)</f>
        <v/>
      </c>
      <c r="K191" s="2">
        <f>J191*G191</f>
        <v/>
      </c>
      <c r="L191" s="2">
        <f>IF(H191="F",0,G191)</f>
        <v/>
      </c>
    </row>
    <row r="192">
      <c r="A192" s="2" t="inlineStr">
        <is>
          <t>m250203</t>
        </is>
      </c>
      <c r="B192" s="2">
        <f>IFERROR(VLOOKUP(A192,Students!$A:$B,2,FALSE),"")</f>
        <v/>
      </c>
      <c r="C192" s="2" t="inlineStr">
        <is>
          <t>Spring 2026</t>
        </is>
      </c>
      <c r="D192" s="2" t="inlineStr">
        <is>
          <t>Semester 3</t>
        </is>
      </c>
      <c r="E192" s="2" t="inlineStr">
        <is>
          <t>TGM 610</t>
        </is>
      </c>
      <c r="F192" s="2">
        <f>IFERROR(VLOOKUP(E192,Courses!$A:$C,2,FALSE),"")</f>
        <v/>
      </c>
      <c r="G192" s="2">
        <f>IFERROR(VLOOKUP(E192,Courses!$A:$C,3,FALSE),0)</f>
        <v/>
      </c>
      <c r="H192" s="2" t="inlineStr">
        <is>
          <t>A-</t>
        </is>
      </c>
      <c r="I192" s="2" t="n">
        <v>90</v>
      </c>
      <c r="J192" s="2">
        <f>IFERROR(VLOOKUP(H192,'Grade Scale'!$A:$B,2,FALSE),0)</f>
        <v/>
      </c>
      <c r="K192" s="2">
        <f>J192*G192</f>
        <v/>
      </c>
      <c r="L192" s="2">
        <f>IF(H192="F",0,G192)</f>
        <v/>
      </c>
    </row>
    <row r="193">
      <c r="A193" s="2" t="inlineStr">
        <is>
          <t>m250203</t>
        </is>
      </c>
      <c r="B193" s="2">
        <f>IFERROR(VLOOKUP(A193,Students!$A:$B,2,FALSE),"")</f>
        <v/>
      </c>
      <c r="C193" s="2" t="inlineStr">
        <is>
          <t>Spring 2026</t>
        </is>
      </c>
      <c r="D193" s="2" t="inlineStr">
        <is>
          <t>Semester 3</t>
        </is>
      </c>
      <c r="E193" s="2" t="inlineStr">
        <is>
          <t>TGM 622</t>
        </is>
      </c>
      <c r="F193" s="2">
        <f>IFERROR(VLOOKUP(E193,Courses!$A:$C,2,FALSE),"")</f>
        <v/>
      </c>
      <c r="G193" s="2">
        <f>IFERROR(VLOOKUP(E193,Courses!$A:$C,3,FALSE),0)</f>
        <v/>
      </c>
      <c r="H193" s="2" t="inlineStr">
        <is>
          <t>A</t>
        </is>
      </c>
      <c r="I193" s="2" t="n">
        <v>94</v>
      </c>
      <c r="J193" s="2">
        <f>IFERROR(VLOOKUP(H193,'Grade Scale'!$A:$B,2,FALSE),0)</f>
        <v/>
      </c>
      <c r="K193" s="2">
        <f>J193*G193</f>
        <v/>
      </c>
      <c r="L193" s="2">
        <f>IF(H193="F",0,G193)</f>
        <v/>
      </c>
    </row>
    <row r="194">
      <c r="A194" s="2" t="inlineStr">
        <is>
          <t>m250203</t>
        </is>
      </c>
      <c r="B194" s="2">
        <f>IFERROR(VLOOKUP(A194,Students!$A:$B,2,FALSE),"")</f>
        <v/>
      </c>
      <c r="C194" s="2" t="inlineStr">
        <is>
          <t>Spring 2026</t>
        </is>
      </c>
      <c r="D194" s="2" t="inlineStr">
        <is>
          <t>Semester 3</t>
        </is>
      </c>
      <c r="E194" s="2" t="inlineStr">
        <is>
          <t>TAM 615</t>
        </is>
      </c>
      <c r="F194" s="2">
        <f>IFERROR(VLOOKUP(E194,Courses!$A:$C,2,FALSE),"")</f>
        <v/>
      </c>
      <c r="G194" s="2">
        <f>IFERROR(VLOOKUP(E194,Courses!$A:$C,3,FALSE),0)</f>
        <v/>
      </c>
      <c r="H194" s="2" t="inlineStr">
        <is>
          <t>C+</t>
        </is>
      </c>
      <c r="I194" s="2" t="n">
        <v>79</v>
      </c>
      <c r="J194" s="2">
        <f>IFERROR(VLOOKUP(H194,'Grade Scale'!$A:$B,2,FALSE),0)</f>
        <v/>
      </c>
      <c r="K194" s="2">
        <f>J194*G194</f>
        <v/>
      </c>
      <c r="L194" s="2">
        <f>IF(H194="F",0,G194)</f>
        <v/>
      </c>
    </row>
    <row r="195">
      <c r="A195" s="2" t="inlineStr">
        <is>
          <t>m250203</t>
        </is>
      </c>
      <c r="B195" s="2">
        <f>IFERROR(VLOOKUP(A195,Students!$A:$B,2,FALSE),"")</f>
        <v/>
      </c>
      <c r="C195" s="2" t="inlineStr">
        <is>
          <t>Spring 2026</t>
        </is>
      </c>
      <c r="D195" s="2" t="inlineStr">
        <is>
          <t>Semester 3</t>
        </is>
      </c>
      <c r="E195" s="2" t="inlineStr">
        <is>
          <t>TGM 630</t>
        </is>
      </c>
      <c r="F195" s="2">
        <f>IFERROR(VLOOKUP(E195,Courses!$A:$C,2,FALSE),"")</f>
        <v/>
      </c>
      <c r="G195" s="2">
        <f>IFERROR(VLOOKUP(E195,Courses!$A:$C,3,FALSE),0)</f>
        <v/>
      </c>
      <c r="H195" s="2" t="inlineStr">
        <is>
          <t>B+</t>
        </is>
      </c>
      <c r="I195" s="2" t="n">
        <v>88</v>
      </c>
      <c r="J195" s="2">
        <f>IFERROR(VLOOKUP(H195,'Grade Scale'!$A:$B,2,FALSE),0)</f>
        <v/>
      </c>
      <c r="K195" s="2">
        <f>J195*G195</f>
        <v/>
      </c>
      <c r="L195" s="2">
        <f>IF(H195="F",0,G195)</f>
        <v/>
      </c>
    </row>
    <row r="196">
      <c r="A196" s="2" t="inlineStr">
        <is>
          <t>m250203</t>
        </is>
      </c>
      <c r="B196" s="2">
        <f>IFERROR(VLOOKUP(A196,Students!$A:$B,2,FALSE),"")</f>
        <v/>
      </c>
      <c r="C196" s="2" t="inlineStr">
        <is>
          <t>Spring 2026</t>
        </is>
      </c>
      <c r="D196" s="2" t="inlineStr">
        <is>
          <t>Semester 3</t>
        </is>
      </c>
      <c r="E196" s="2" t="inlineStr">
        <is>
          <t>TGM 690</t>
        </is>
      </c>
      <c r="F196" s="2">
        <f>IFERROR(VLOOKUP(E196,Courses!$A:$C,2,FALSE),"")</f>
        <v/>
      </c>
      <c r="G196" s="2">
        <f>IFERROR(VLOOKUP(E196,Courses!$A:$C,3,FALSE),0)</f>
        <v/>
      </c>
      <c r="H196" s="2" t="inlineStr">
        <is>
          <t>B-</t>
        </is>
      </c>
      <c r="I196" s="2" t="n">
        <v>82</v>
      </c>
      <c r="J196" s="2">
        <f>IFERROR(VLOOKUP(H196,'Grade Scale'!$A:$B,2,FALSE),0)</f>
        <v/>
      </c>
      <c r="K196" s="2">
        <f>J196*G196</f>
        <v/>
      </c>
      <c r="L196" s="2">
        <f>IF(H196="F",0,G196)</f>
        <v/>
      </c>
    </row>
    <row r="197">
      <c r="A197" s="2" t="inlineStr">
        <is>
          <t>m250204</t>
        </is>
      </c>
      <c r="B197" s="2">
        <f>IFERROR(VLOOKUP(A197,Students!$A:$B,2,FALSE),"")</f>
        <v/>
      </c>
      <c r="C197" s="2" t="inlineStr">
        <is>
          <t>Spring 2025</t>
        </is>
      </c>
      <c r="D197" s="2" t="inlineStr">
        <is>
          <t>Semester 1</t>
        </is>
      </c>
      <c r="E197" s="2" t="inlineStr">
        <is>
          <t>ECO 101</t>
        </is>
      </c>
      <c r="F197" s="2">
        <f>IFERROR(VLOOKUP(E197,Courses!$A:$C,2,FALSE),"")</f>
        <v/>
      </c>
      <c r="G197" s="2">
        <f>IFERROR(VLOOKUP(E197,Courses!$A:$C,3,FALSE),0)</f>
        <v/>
      </c>
      <c r="H197" s="2" t="inlineStr">
        <is>
          <t>A-</t>
        </is>
      </c>
      <c r="I197" s="2" t="n">
        <v>92</v>
      </c>
      <c r="J197" s="2">
        <f>IFERROR(VLOOKUP(H197,'Grade Scale'!$A:$B,2,FALSE),0)</f>
        <v/>
      </c>
      <c r="K197" s="2">
        <f>J197*G197</f>
        <v/>
      </c>
      <c r="L197" s="2">
        <f>IF(H197="F",0,G197)</f>
        <v/>
      </c>
    </row>
    <row r="198">
      <c r="A198" s="2" t="inlineStr">
        <is>
          <t>m250204</t>
        </is>
      </c>
      <c r="B198" s="2">
        <f>IFERROR(VLOOKUP(A198,Students!$A:$B,2,FALSE),"")</f>
        <v/>
      </c>
      <c r="C198" s="2" t="inlineStr">
        <is>
          <t>Spring 2025</t>
        </is>
      </c>
      <c r="D198" s="2" t="inlineStr">
        <is>
          <t>Semester 1</t>
        </is>
      </c>
      <c r="E198" s="2" t="inlineStr">
        <is>
          <t>ACC 101</t>
        </is>
      </c>
      <c r="F198" s="2">
        <f>IFERROR(VLOOKUP(E198,Courses!$A:$C,2,FALSE),"")</f>
        <v/>
      </c>
      <c r="G198" s="2">
        <f>IFERROR(VLOOKUP(E198,Courses!$A:$C,3,FALSE),0)</f>
        <v/>
      </c>
      <c r="H198" s="2" t="inlineStr">
        <is>
          <t>B+</t>
        </is>
      </c>
      <c r="I198" s="2" t="n">
        <v>89</v>
      </c>
      <c r="J198" s="2">
        <f>IFERROR(VLOOKUP(H198,'Grade Scale'!$A:$B,2,FALSE),0)</f>
        <v/>
      </c>
      <c r="K198" s="2">
        <f>J198*G198</f>
        <v/>
      </c>
      <c r="L198" s="2">
        <f>IF(H198="F",0,G198)</f>
        <v/>
      </c>
    </row>
    <row r="199">
      <c r="A199" s="2" t="inlineStr">
        <is>
          <t>m250204</t>
        </is>
      </c>
      <c r="B199" s="2">
        <f>IFERROR(VLOOKUP(A199,Students!$A:$B,2,FALSE),"")</f>
        <v/>
      </c>
      <c r="C199" s="2" t="inlineStr">
        <is>
          <t>Spring 2025</t>
        </is>
      </c>
      <c r="D199" s="2" t="inlineStr">
        <is>
          <t>Semester 1</t>
        </is>
      </c>
      <c r="E199" s="2" t="inlineStr">
        <is>
          <t>MTH 105</t>
        </is>
      </c>
      <c r="F199" s="2">
        <f>IFERROR(VLOOKUP(E199,Courses!$A:$C,2,FALSE),"")</f>
        <v/>
      </c>
      <c r="G199" s="2">
        <f>IFERROR(VLOOKUP(E199,Courses!$A:$C,3,FALSE),0)</f>
        <v/>
      </c>
      <c r="H199" s="2" t="inlineStr">
        <is>
          <t>A</t>
        </is>
      </c>
      <c r="I199" s="2" t="n">
        <v>96</v>
      </c>
      <c r="J199" s="2">
        <f>IFERROR(VLOOKUP(H199,'Grade Scale'!$A:$B,2,FALSE),0)</f>
        <v/>
      </c>
      <c r="K199" s="2">
        <f>J199*G199</f>
        <v/>
      </c>
      <c r="L199" s="2">
        <f>IF(H199="F",0,G199)</f>
        <v/>
      </c>
    </row>
    <row r="200">
      <c r="A200" s="2" t="inlineStr">
        <is>
          <t>m250204</t>
        </is>
      </c>
      <c r="B200" s="2">
        <f>IFERROR(VLOOKUP(A200,Students!$A:$B,2,FALSE),"")</f>
        <v/>
      </c>
      <c r="C200" s="2" t="inlineStr">
        <is>
          <t>Spring 2025</t>
        </is>
      </c>
      <c r="D200" s="2" t="inlineStr">
        <is>
          <t>Semester 1</t>
        </is>
      </c>
      <c r="E200" s="2" t="inlineStr">
        <is>
          <t>ENG 101</t>
        </is>
      </c>
      <c r="F200" s="2">
        <f>IFERROR(VLOOKUP(E200,Courses!$A:$C,2,FALSE),"")</f>
        <v/>
      </c>
      <c r="G200" s="2">
        <f>IFERROR(VLOOKUP(E200,Courses!$A:$C,3,FALSE),0)</f>
        <v/>
      </c>
      <c r="H200" s="2" t="inlineStr">
        <is>
          <t>A-</t>
        </is>
      </c>
      <c r="I200" s="2" t="n">
        <v>90</v>
      </c>
      <c r="J200" s="2">
        <f>IFERROR(VLOOKUP(H200,'Grade Scale'!$A:$B,2,FALSE),0)</f>
        <v/>
      </c>
      <c r="K200" s="2">
        <f>J200*G200</f>
        <v/>
      </c>
      <c r="L200" s="2">
        <f>IF(H200="F",0,G200)</f>
        <v/>
      </c>
    </row>
    <row r="201">
      <c r="A201" s="2" t="inlineStr">
        <is>
          <t>m250204</t>
        </is>
      </c>
      <c r="B201" s="2">
        <f>IFERROR(VLOOKUP(A201,Students!$A:$B,2,FALSE),"")</f>
        <v/>
      </c>
      <c r="C201" s="2" t="inlineStr">
        <is>
          <t>Spring 2025</t>
        </is>
      </c>
      <c r="D201" s="2" t="inlineStr">
        <is>
          <t>Semester 1</t>
        </is>
      </c>
      <c r="E201" s="2" t="inlineStr">
        <is>
          <t>FIN 100</t>
        </is>
      </c>
      <c r="F201" s="2">
        <f>IFERROR(VLOOKUP(E201,Courses!$A:$C,2,FALSE),"")</f>
        <v/>
      </c>
      <c r="G201" s="2">
        <f>IFERROR(VLOOKUP(E201,Courses!$A:$C,3,FALSE),0)</f>
        <v/>
      </c>
      <c r="H201" s="2" t="inlineStr">
        <is>
          <t>A</t>
        </is>
      </c>
      <c r="I201" s="2" t="n">
        <v>98</v>
      </c>
      <c r="J201" s="2">
        <f>IFERROR(VLOOKUP(H201,'Grade Scale'!$A:$B,2,FALSE),0)</f>
        <v/>
      </c>
      <c r="K201" s="2">
        <f>J201*G201</f>
        <v/>
      </c>
      <c r="L201" s="2">
        <f>IF(H201="F",0,G201)</f>
        <v/>
      </c>
    </row>
    <row r="202">
      <c r="A202" s="2" t="inlineStr">
        <is>
          <t>m250204</t>
        </is>
      </c>
      <c r="B202" s="2">
        <f>IFERROR(VLOOKUP(A202,Students!$A:$B,2,FALSE),"")</f>
        <v/>
      </c>
      <c r="C202" s="2" t="inlineStr">
        <is>
          <t>Fall 2025</t>
        </is>
      </c>
      <c r="D202" s="2" t="inlineStr">
        <is>
          <t>Semester 2</t>
        </is>
      </c>
      <c r="E202" s="2" t="inlineStr">
        <is>
          <t>ECO 102</t>
        </is>
      </c>
      <c r="F202" s="2">
        <f>IFERROR(VLOOKUP(E202,Courses!$A:$C,2,FALSE),"")</f>
        <v/>
      </c>
      <c r="G202" s="2">
        <f>IFERROR(VLOOKUP(E202,Courses!$A:$C,3,FALSE),0)</f>
        <v/>
      </c>
      <c r="H202" s="2" t="inlineStr">
        <is>
          <t>A-</t>
        </is>
      </c>
      <c r="I202" s="2" t="n">
        <v>92</v>
      </c>
      <c r="J202" s="2">
        <f>IFERROR(VLOOKUP(H202,'Grade Scale'!$A:$B,2,FALSE),0)</f>
        <v/>
      </c>
      <c r="K202" s="2">
        <f>J202*G202</f>
        <v/>
      </c>
      <c r="L202" s="2">
        <f>IF(H202="F",0,G202)</f>
        <v/>
      </c>
    </row>
    <row r="203">
      <c r="A203" s="2" t="inlineStr">
        <is>
          <t>m250204</t>
        </is>
      </c>
      <c r="B203" s="2">
        <f>IFERROR(VLOOKUP(A203,Students!$A:$B,2,FALSE),"")</f>
        <v/>
      </c>
      <c r="C203" s="2" t="inlineStr">
        <is>
          <t>Fall 2025</t>
        </is>
      </c>
      <c r="D203" s="2" t="inlineStr">
        <is>
          <t>Semester 2</t>
        </is>
      </c>
      <c r="E203" s="2" t="inlineStr">
        <is>
          <t>ACC 102</t>
        </is>
      </c>
      <c r="F203" s="2">
        <f>IFERROR(VLOOKUP(E203,Courses!$A:$C,2,FALSE),"")</f>
        <v/>
      </c>
      <c r="G203" s="2">
        <f>IFERROR(VLOOKUP(E203,Courses!$A:$C,3,FALSE),0)</f>
        <v/>
      </c>
      <c r="H203" s="2" t="inlineStr">
        <is>
          <t>B</t>
        </is>
      </c>
      <c r="I203" s="2" t="n">
        <v>85</v>
      </c>
      <c r="J203" s="2">
        <f>IFERROR(VLOOKUP(H203,'Grade Scale'!$A:$B,2,FALSE),0)</f>
        <v/>
      </c>
      <c r="K203" s="2">
        <f>J203*G203</f>
        <v/>
      </c>
      <c r="L203" s="2">
        <f>IF(H203="F",0,G203)</f>
        <v/>
      </c>
    </row>
    <row r="204">
      <c r="A204" s="2" t="inlineStr">
        <is>
          <t>m250204</t>
        </is>
      </c>
      <c r="B204" s="2">
        <f>IFERROR(VLOOKUP(A204,Students!$A:$B,2,FALSE),"")</f>
        <v/>
      </c>
      <c r="C204" s="2" t="inlineStr">
        <is>
          <t>Fall 2025</t>
        </is>
      </c>
      <c r="D204" s="2" t="inlineStr">
        <is>
          <t>Semester 2</t>
        </is>
      </c>
      <c r="E204" s="2" t="inlineStr">
        <is>
          <t>STA 110</t>
        </is>
      </c>
      <c r="F204" s="2">
        <f>IFERROR(VLOOKUP(E204,Courses!$A:$C,2,FALSE),"")</f>
        <v/>
      </c>
      <c r="G204" s="2">
        <f>IFERROR(VLOOKUP(E204,Courses!$A:$C,3,FALSE),0)</f>
        <v/>
      </c>
      <c r="H204" s="2" t="inlineStr">
        <is>
          <t>B</t>
        </is>
      </c>
      <c r="I204" s="2" t="n">
        <v>86</v>
      </c>
      <c r="J204" s="2">
        <f>IFERROR(VLOOKUP(H204,'Grade Scale'!$A:$B,2,FALSE),0)</f>
        <v/>
      </c>
      <c r="K204" s="2">
        <f>J204*G204</f>
        <v/>
      </c>
      <c r="L204" s="2">
        <f>IF(H204="F",0,G204)</f>
        <v/>
      </c>
    </row>
    <row r="205">
      <c r="A205" s="2" t="inlineStr">
        <is>
          <t>m250204</t>
        </is>
      </c>
      <c r="B205" s="2">
        <f>IFERROR(VLOOKUP(A205,Students!$A:$B,2,FALSE),"")</f>
        <v/>
      </c>
      <c r="C205" s="2" t="inlineStr">
        <is>
          <t>Fall 2025</t>
        </is>
      </c>
      <c r="D205" s="2" t="inlineStr">
        <is>
          <t>Semester 2</t>
        </is>
      </c>
      <c r="E205" s="2" t="inlineStr">
        <is>
          <t>ENG 102</t>
        </is>
      </c>
      <c r="F205" s="2">
        <f>IFERROR(VLOOKUP(E205,Courses!$A:$C,2,FALSE),"")</f>
        <v/>
      </c>
      <c r="G205" s="2">
        <f>IFERROR(VLOOKUP(E205,Courses!$A:$C,3,FALSE),0)</f>
        <v/>
      </c>
      <c r="H205" s="2" t="inlineStr">
        <is>
          <t>A-</t>
        </is>
      </c>
      <c r="I205" s="2" t="n">
        <v>92</v>
      </c>
      <c r="J205" s="2">
        <f>IFERROR(VLOOKUP(H205,'Grade Scale'!$A:$B,2,FALSE),0)</f>
        <v/>
      </c>
      <c r="K205" s="2">
        <f>J205*G205</f>
        <v/>
      </c>
      <c r="L205" s="2">
        <f>IF(H205="F",0,G205)</f>
        <v/>
      </c>
    </row>
    <row r="206">
      <c r="A206" s="2" t="inlineStr">
        <is>
          <t>m250204</t>
        </is>
      </c>
      <c r="B206" s="2">
        <f>IFERROR(VLOOKUP(A206,Students!$A:$B,2,FALSE),"")</f>
        <v/>
      </c>
      <c r="C206" s="2" t="inlineStr">
        <is>
          <t>Fall 2025</t>
        </is>
      </c>
      <c r="D206" s="2" t="inlineStr">
        <is>
          <t>Semester 2</t>
        </is>
      </c>
      <c r="E206" s="2" t="inlineStr">
        <is>
          <t>FIN 150</t>
        </is>
      </c>
      <c r="F206" s="2">
        <f>IFERROR(VLOOKUP(E206,Courses!$A:$C,2,FALSE),"")</f>
        <v/>
      </c>
      <c r="G206" s="2">
        <f>IFERROR(VLOOKUP(E206,Courses!$A:$C,3,FALSE),0)</f>
        <v/>
      </c>
      <c r="H206" s="2" t="inlineStr">
        <is>
          <t>B+</t>
        </is>
      </c>
      <c r="I206" s="2" t="n">
        <v>88</v>
      </c>
      <c r="J206" s="2">
        <f>IFERROR(VLOOKUP(H206,'Grade Scale'!$A:$B,2,FALSE),0)</f>
        <v/>
      </c>
      <c r="K206" s="2">
        <f>J206*G206</f>
        <v/>
      </c>
      <c r="L206" s="2">
        <f>IF(H206="F",0,G206)</f>
        <v/>
      </c>
    </row>
    <row r="207">
      <c r="A207" s="2" t="inlineStr">
        <is>
          <t>m250204</t>
        </is>
      </c>
      <c r="B207" s="2">
        <f>IFERROR(VLOOKUP(A207,Students!$A:$B,2,FALSE),"")</f>
        <v/>
      </c>
      <c r="C207" s="2" t="inlineStr">
        <is>
          <t>Spring 2026</t>
        </is>
      </c>
      <c r="D207" s="2" t="inlineStr">
        <is>
          <t>Semester 3</t>
        </is>
      </c>
      <c r="E207" s="2" t="inlineStr">
        <is>
          <t>FIN 210</t>
        </is>
      </c>
      <c r="F207" s="2">
        <f>IFERROR(VLOOKUP(E207,Courses!$A:$C,2,FALSE),"")</f>
        <v/>
      </c>
      <c r="G207" s="2">
        <f>IFERROR(VLOOKUP(E207,Courses!$A:$C,3,FALSE),0)</f>
        <v/>
      </c>
      <c r="H207" s="2" t="inlineStr">
        <is>
          <t>A-</t>
        </is>
      </c>
      <c r="I207" s="2" t="n">
        <v>91</v>
      </c>
      <c r="J207" s="2">
        <f>IFERROR(VLOOKUP(H207,'Grade Scale'!$A:$B,2,FALSE),0)</f>
        <v/>
      </c>
      <c r="K207" s="2">
        <f>J207*G207</f>
        <v/>
      </c>
      <c r="L207" s="2">
        <f>IF(H207="F",0,G207)</f>
        <v/>
      </c>
    </row>
    <row r="208">
      <c r="A208" s="2" t="inlineStr">
        <is>
          <t>m250204</t>
        </is>
      </c>
      <c r="B208" s="2">
        <f>IFERROR(VLOOKUP(A208,Students!$A:$B,2,FALSE),"")</f>
        <v/>
      </c>
      <c r="C208" s="2" t="inlineStr">
        <is>
          <t>Spring 2026</t>
        </is>
      </c>
      <c r="D208" s="2" t="inlineStr">
        <is>
          <t>Semester 3</t>
        </is>
      </c>
      <c r="E208" s="2" t="inlineStr">
        <is>
          <t>FIN 220</t>
        </is>
      </c>
      <c r="F208" s="2">
        <f>IFERROR(VLOOKUP(E208,Courses!$A:$C,2,FALSE),"")</f>
        <v/>
      </c>
      <c r="G208" s="2">
        <f>IFERROR(VLOOKUP(E208,Courses!$A:$C,3,FALSE),0)</f>
        <v/>
      </c>
      <c r="H208" s="2" t="inlineStr">
        <is>
          <t>A</t>
        </is>
      </c>
      <c r="I208" s="2" t="n">
        <v>94</v>
      </c>
      <c r="J208" s="2">
        <f>IFERROR(VLOOKUP(H208,'Grade Scale'!$A:$B,2,FALSE),0)</f>
        <v/>
      </c>
      <c r="K208" s="2">
        <f>J208*G208</f>
        <v/>
      </c>
      <c r="L208" s="2">
        <f>IF(H208="F",0,G208)</f>
        <v/>
      </c>
    </row>
    <row r="209">
      <c r="A209" s="2" t="inlineStr">
        <is>
          <t>m250204</t>
        </is>
      </c>
      <c r="B209" s="2">
        <f>IFERROR(VLOOKUP(A209,Students!$A:$B,2,FALSE),"")</f>
        <v/>
      </c>
      <c r="C209" s="2" t="inlineStr">
        <is>
          <t>Spring 2026</t>
        </is>
      </c>
      <c r="D209" s="2" t="inlineStr">
        <is>
          <t>Semester 3</t>
        </is>
      </c>
      <c r="E209" s="2" t="inlineStr">
        <is>
          <t>FIN 230</t>
        </is>
      </c>
      <c r="F209" s="2">
        <f>IFERROR(VLOOKUP(E209,Courses!$A:$C,2,FALSE),"")</f>
        <v/>
      </c>
      <c r="G209" s="2">
        <f>IFERROR(VLOOKUP(E209,Courses!$A:$C,3,FALSE),0)</f>
        <v/>
      </c>
      <c r="H209" s="2" t="inlineStr">
        <is>
          <t>B-</t>
        </is>
      </c>
      <c r="I209" s="2" t="n">
        <v>81</v>
      </c>
      <c r="J209" s="2">
        <f>IFERROR(VLOOKUP(H209,'Grade Scale'!$A:$B,2,FALSE),0)</f>
        <v/>
      </c>
      <c r="K209" s="2">
        <f>J209*G209</f>
        <v/>
      </c>
      <c r="L209" s="2">
        <f>IF(H209="F",0,G209)</f>
        <v/>
      </c>
    </row>
    <row r="210">
      <c r="A210" s="2" t="inlineStr">
        <is>
          <t>m250204</t>
        </is>
      </c>
      <c r="B210" s="2">
        <f>IFERROR(VLOOKUP(A210,Students!$A:$B,2,FALSE),"")</f>
        <v/>
      </c>
      <c r="C210" s="2" t="inlineStr">
        <is>
          <t>Spring 2026</t>
        </is>
      </c>
      <c r="D210" s="2" t="inlineStr">
        <is>
          <t>Semester 3</t>
        </is>
      </c>
      <c r="E210" s="2" t="inlineStr">
        <is>
          <t>ECO 210</t>
        </is>
      </c>
      <c r="F210" s="2">
        <f>IFERROR(VLOOKUP(E210,Courses!$A:$C,2,FALSE),"")</f>
        <v/>
      </c>
      <c r="G210" s="2">
        <f>IFERROR(VLOOKUP(E210,Courses!$A:$C,3,FALSE),0)</f>
        <v/>
      </c>
      <c r="H210" s="2" t="inlineStr">
        <is>
          <t>A</t>
        </is>
      </c>
      <c r="I210" s="2" t="n">
        <v>96</v>
      </c>
      <c r="J210" s="2">
        <f>IFERROR(VLOOKUP(H210,'Grade Scale'!$A:$B,2,FALSE),0)</f>
        <v/>
      </c>
      <c r="K210" s="2">
        <f>J210*G210</f>
        <v/>
      </c>
      <c r="L210" s="2">
        <f>IF(H210="F",0,G210)</f>
        <v/>
      </c>
    </row>
    <row r="211">
      <c r="A211" s="2" t="inlineStr">
        <is>
          <t>m250204</t>
        </is>
      </c>
      <c r="B211" s="2">
        <f>IFERROR(VLOOKUP(A211,Students!$A:$B,2,FALSE),"")</f>
        <v/>
      </c>
      <c r="C211" s="2" t="inlineStr">
        <is>
          <t>Spring 2026</t>
        </is>
      </c>
      <c r="D211" s="2" t="inlineStr">
        <is>
          <t>Semester 3</t>
        </is>
      </c>
      <c r="E211" s="2" t="inlineStr">
        <is>
          <t>LAW 201</t>
        </is>
      </c>
      <c r="F211" s="2">
        <f>IFERROR(VLOOKUP(E211,Courses!$A:$C,2,FALSE),"")</f>
        <v/>
      </c>
      <c r="G211" s="2">
        <f>IFERROR(VLOOKUP(E211,Courses!$A:$C,3,FALSE),0)</f>
        <v/>
      </c>
      <c r="H211" s="2" t="inlineStr">
        <is>
          <t>B-</t>
        </is>
      </c>
      <c r="I211" s="2" t="n">
        <v>80</v>
      </c>
      <c r="J211" s="2">
        <f>IFERROR(VLOOKUP(H211,'Grade Scale'!$A:$B,2,FALSE),0)</f>
        <v/>
      </c>
      <c r="K211" s="2">
        <f>J211*G211</f>
        <v/>
      </c>
      <c r="L211" s="2">
        <f>IF(H211="F",0,G211)</f>
        <v/>
      </c>
    </row>
    <row r="212">
      <c r="A212" s="2" t="inlineStr">
        <is>
          <t>m250205</t>
        </is>
      </c>
      <c r="B212" s="2">
        <f>IFERROR(VLOOKUP(A212,Students!$A:$B,2,FALSE),"")</f>
        <v/>
      </c>
      <c r="C212" s="2" t="inlineStr">
        <is>
          <t>Spring 2025</t>
        </is>
      </c>
      <c r="D212" s="2" t="inlineStr">
        <is>
          <t>Semester 1</t>
        </is>
      </c>
      <c r="E212" s="2" t="inlineStr">
        <is>
          <t>DSC 501</t>
        </is>
      </c>
      <c r="F212" s="2">
        <f>IFERROR(VLOOKUP(E212,Courses!$A:$C,2,FALSE),"")</f>
        <v/>
      </c>
      <c r="G212" s="2">
        <f>IFERROR(VLOOKUP(E212,Courses!$A:$C,3,FALSE),0)</f>
        <v/>
      </c>
      <c r="H212" s="2" t="inlineStr">
        <is>
          <t>B</t>
        </is>
      </c>
      <c r="I212" s="2" t="n">
        <v>85</v>
      </c>
      <c r="J212" s="2">
        <f>IFERROR(VLOOKUP(H212,'Grade Scale'!$A:$B,2,FALSE),0)</f>
        <v/>
      </c>
      <c r="K212" s="2">
        <f>J212*G212</f>
        <v/>
      </c>
      <c r="L212" s="2">
        <f>IF(H212="F",0,G212)</f>
        <v/>
      </c>
    </row>
    <row r="213">
      <c r="A213" s="2" t="inlineStr">
        <is>
          <t>m250205</t>
        </is>
      </c>
      <c r="B213" s="2">
        <f>IFERROR(VLOOKUP(A213,Students!$A:$B,2,FALSE),"")</f>
        <v/>
      </c>
      <c r="C213" s="2" t="inlineStr">
        <is>
          <t>Spring 2025</t>
        </is>
      </c>
      <c r="D213" s="2" t="inlineStr">
        <is>
          <t>Semester 1</t>
        </is>
      </c>
      <c r="E213" s="2" t="inlineStr">
        <is>
          <t>DSC 510</t>
        </is>
      </c>
      <c r="F213" s="2">
        <f>IFERROR(VLOOKUP(E213,Courses!$A:$C,2,FALSE),"")</f>
        <v/>
      </c>
      <c r="G213" s="2">
        <f>IFERROR(VLOOKUP(E213,Courses!$A:$C,3,FALSE),0)</f>
        <v/>
      </c>
      <c r="H213" s="2" t="inlineStr">
        <is>
          <t>A</t>
        </is>
      </c>
      <c r="I213" s="2" t="n">
        <v>98</v>
      </c>
      <c r="J213" s="2">
        <f>IFERROR(VLOOKUP(H213,'Grade Scale'!$A:$B,2,FALSE),0)</f>
        <v/>
      </c>
      <c r="K213" s="2">
        <f>J213*G213</f>
        <v/>
      </c>
      <c r="L213" s="2">
        <f>IF(H213="F",0,G213)</f>
        <v/>
      </c>
    </row>
    <row r="214">
      <c r="A214" s="2" t="inlineStr">
        <is>
          <t>m250205</t>
        </is>
      </c>
      <c r="B214" s="2">
        <f>IFERROR(VLOOKUP(A214,Students!$A:$B,2,FALSE),"")</f>
        <v/>
      </c>
      <c r="C214" s="2" t="inlineStr">
        <is>
          <t>Spring 2025</t>
        </is>
      </c>
      <c r="D214" s="2" t="inlineStr">
        <is>
          <t>Semester 1</t>
        </is>
      </c>
      <c r="E214" s="2" t="inlineStr">
        <is>
          <t>DSC 520</t>
        </is>
      </c>
      <c r="F214" s="2">
        <f>IFERROR(VLOOKUP(E214,Courses!$A:$C,2,FALSE),"")</f>
        <v/>
      </c>
      <c r="G214" s="2">
        <f>IFERROR(VLOOKUP(E214,Courses!$A:$C,3,FALSE),0)</f>
        <v/>
      </c>
      <c r="H214" s="2" t="inlineStr">
        <is>
          <t>B+</t>
        </is>
      </c>
      <c r="I214" s="2" t="n">
        <v>89</v>
      </c>
      <c r="J214" s="2">
        <f>IFERROR(VLOOKUP(H214,'Grade Scale'!$A:$B,2,FALSE),0)</f>
        <v/>
      </c>
      <c r="K214" s="2">
        <f>J214*G214</f>
        <v/>
      </c>
      <c r="L214" s="2">
        <f>IF(H214="F",0,G214)</f>
        <v/>
      </c>
    </row>
    <row r="215">
      <c r="A215" s="2" t="inlineStr">
        <is>
          <t>m250205</t>
        </is>
      </c>
      <c r="B215" s="2">
        <f>IFERROR(VLOOKUP(A215,Students!$A:$B,2,FALSE),"")</f>
        <v/>
      </c>
      <c r="C215" s="2" t="inlineStr">
        <is>
          <t>Spring 2025</t>
        </is>
      </c>
      <c r="D215" s="2" t="inlineStr">
        <is>
          <t>Semester 1</t>
        </is>
      </c>
      <c r="E215" s="2" t="inlineStr">
        <is>
          <t>DSC 530</t>
        </is>
      </c>
      <c r="F215" s="2">
        <f>IFERROR(VLOOKUP(E215,Courses!$A:$C,2,FALSE),"")</f>
        <v/>
      </c>
      <c r="G215" s="2">
        <f>IFERROR(VLOOKUP(E215,Courses!$A:$C,3,FALSE),0)</f>
        <v/>
      </c>
      <c r="H215" s="2" t="inlineStr">
        <is>
          <t>C+</t>
        </is>
      </c>
      <c r="I215" s="2" t="n">
        <v>77</v>
      </c>
      <c r="J215" s="2">
        <f>IFERROR(VLOOKUP(H215,'Grade Scale'!$A:$B,2,FALSE),0)</f>
        <v/>
      </c>
      <c r="K215" s="2">
        <f>J215*G215</f>
        <v/>
      </c>
      <c r="L215" s="2">
        <f>IF(H215="F",0,G215)</f>
        <v/>
      </c>
    </row>
    <row r="216">
      <c r="A216" s="2" t="inlineStr">
        <is>
          <t>m250205</t>
        </is>
      </c>
      <c r="B216" s="2">
        <f>IFERROR(VLOOKUP(A216,Students!$A:$B,2,FALSE),"")</f>
        <v/>
      </c>
      <c r="C216" s="2" t="inlineStr">
        <is>
          <t>Spring 2025</t>
        </is>
      </c>
      <c r="D216" s="2" t="inlineStr">
        <is>
          <t>Semester 1</t>
        </is>
      </c>
      <c r="E216" s="2" t="inlineStr">
        <is>
          <t>DSC 540</t>
        </is>
      </c>
      <c r="F216" s="2">
        <f>IFERROR(VLOOKUP(E216,Courses!$A:$C,2,FALSE),"")</f>
        <v/>
      </c>
      <c r="G216" s="2">
        <f>IFERROR(VLOOKUP(E216,Courses!$A:$C,3,FALSE),0)</f>
        <v/>
      </c>
      <c r="H216" s="2" t="inlineStr">
        <is>
          <t>C</t>
        </is>
      </c>
      <c r="I216" s="2" t="n">
        <v>74</v>
      </c>
      <c r="J216" s="2">
        <f>IFERROR(VLOOKUP(H216,'Grade Scale'!$A:$B,2,FALSE),0)</f>
        <v/>
      </c>
      <c r="K216" s="2">
        <f>J216*G216</f>
        <v/>
      </c>
      <c r="L216" s="2">
        <f>IF(H216="F",0,G216)</f>
        <v/>
      </c>
    </row>
    <row r="217">
      <c r="A217" s="2" t="inlineStr">
        <is>
          <t>m250205</t>
        </is>
      </c>
      <c r="B217" s="2">
        <f>IFERROR(VLOOKUP(A217,Students!$A:$B,2,FALSE),"")</f>
        <v/>
      </c>
      <c r="C217" s="2" t="inlineStr">
        <is>
          <t>Fall 2025</t>
        </is>
      </c>
      <c r="D217" s="2" t="inlineStr">
        <is>
          <t>Semester 2</t>
        </is>
      </c>
      <c r="E217" s="2" t="inlineStr">
        <is>
          <t>DSC 550</t>
        </is>
      </c>
      <c r="F217" s="2">
        <f>IFERROR(VLOOKUP(E217,Courses!$A:$C,2,FALSE),"")</f>
        <v/>
      </c>
      <c r="G217" s="2">
        <f>IFERROR(VLOOKUP(E217,Courses!$A:$C,3,FALSE),0)</f>
        <v/>
      </c>
      <c r="H217" s="2" t="inlineStr">
        <is>
          <t>B+</t>
        </is>
      </c>
      <c r="I217" s="2" t="n">
        <v>89</v>
      </c>
      <c r="J217" s="2">
        <f>IFERROR(VLOOKUP(H217,'Grade Scale'!$A:$B,2,FALSE),0)</f>
        <v/>
      </c>
      <c r="K217" s="2">
        <f>J217*G217</f>
        <v/>
      </c>
      <c r="L217" s="2">
        <f>IF(H217="F",0,G217)</f>
        <v/>
      </c>
    </row>
    <row r="218">
      <c r="A218" s="2" t="inlineStr">
        <is>
          <t>m250205</t>
        </is>
      </c>
      <c r="B218" s="2">
        <f>IFERROR(VLOOKUP(A218,Students!$A:$B,2,FALSE),"")</f>
        <v/>
      </c>
      <c r="C218" s="2" t="inlineStr">
        <is>
          <t>Fall 2025</t>
        </is>
      </c>
      <c r="D218" s="2" t="inlineStr">
        <is>
          <t>Semester 2</t>
        </is>
      </c>
      <c r="E218" s="2" t="inlineStr">
        <is>
          <t>DSC 560</t>
        </is>
      </c>
      <c r="F218" s="2">
        <f>IFERROR(VLOOKUP(E218,Courses!$A:$C,2,FALSE),"")</f>
        <v/>
      </c>
      <c r="G218" s="2">
        <f>IFERROR(VLOOKUP(E218,Courses!$A:$C,3,FALSE),0)</f>
        <v/>
      </c>
      <c r="H218" s="2" t="inlineStr">
        <is>
          <t>B+</t>
        </is>
      </c>
      <c r="I218" s="2" t="n">
        <v>88</v>
      </c>
      <c r="J218" s="2">
        <f>IFERROR(VLOOKUP(H218,'Grade Scale'!$A:$B,2,FALSE),0)</f>
        <v/>
      </c>
      <c r="K218" s="2">
        <f>J218*G218</f>
        <v/>
      </c>
      <c r="L218" s="2">
        <f>IF(H218="F",0,G218)</f>
        <v/>
      </c>
    </row>
    <row r="219">
      <c r="A219" s="2" t="inlineStr">
        <is>
          <t>m250205</t>
        </is>
      </c>
      <c r="B219" s="2">
        <f>IFERROR(VLOOKUP(A219,Students!$A:$B,2,FALSE),"")</f>
        <v/>
      </c>
      <c r="C219" s="2" t="inlineStr">
        <is>
          <t>Fall 2025</t>
        </is>
      </c>
      <c r="D219" s="2" t="inlineStr">
        <is>
          <t>Semester 2</t>
        </is>
      </c>
      <c r="E219" s="2" t="inlineStr">
        <is>
          <t>DSC 570</t>
        </is>
      </c>
      <c r="F219" s="2">
        <f>IFERROR(VLOOKUP(E219,Courses!$A:$C,2,FALSE),"")</f>
        <v/>
      </c>
      <c r="G219" s="2">
        <f>IFERROR(VLOOKUP(E219,Courses!$A:$C,3,FALSE),0)</f>
        <v/>
      </c>
      <c r="H219" s="2" t="inlineStr">
        <is>
          <t>C</t>
        </is>
      </c>
      <c r="I219" s="2" t="n">
        <v>76</v>
      </c>
      <c r="J219" s="2">
        <f>IFERROR(VLOOKUP(H219,'Grade Scale'!$A:$B,2,FALSE),0)</f>
        <v/>
      </c>
      <c r="K219" s="2">
        <f>J219*G219</f>
        <v/>
      </c>
      <c r="L219" s="2">
        <f>IF(H219="F",0,G219)</f>
        <v/>
      </c>
    </row>
    <row r="220">
      <c r="A220" s="2" t="inlineStr">
        <is>
          <t>m250205</t>
        </is>
      </c>
      <c r="B220" s="2">
        <f>IFERROR(VLOOKUP(A220,Students!$A:$B,2,FALSE),"")</f>
        <v/>
      </c>
      <c r="C220" s="2" t="inlineStr">
        <is>
          <t>Fall 2025</t>
        </is>
      </c>
      <c r="D220" s="2" t="inlineStr">
        <is>
          <t>Semester 2</t>
        </is>
      </c>
      <c r="E220" s="2" t="inlineStr">
        <is>
          <t>DSC 580</t>
        </is>
      </c>
      <c r="F220" s="2">
        <f>IFERROR(VLOOKUP(E220,Courses!$A:$C,2,FALSE),"")</f>
        <v/>
      </c>
      <c r="G220" s="2">
        <f>IFERROR(VLOOKUP(E220,Courses!$A:$C,3,FALSE),0)</f>
        <v/>
      </c>
      <c r="H220" s="2" t="inlineStr">
        <is>
          <t>B+</t>
        </is>
      </c>
      <c r="I220" s="2" t="n">
        <v>88</v>
      </c>
      <c r="J220" s="2">
        <f>IFERROR(VLOOKUP(H220,'Grade Scale'!$A:$B,2,FALSE),0)</f>
        <v/>
      </c>
      <c r="K220" s="2">
        <f>J220*G220</f>
        <v/>
      </c>
      <c r="L220" s="2">
        <f>IF(H220="F",0,G220)</f>
        <v/>
      </c>
    </row>
    <row r="221">
      <c r="A221" s="2" t="inlineStr">
        <is>
          <t>m250205</t>
        </is>
      </c>
      <c r="B221" s="2">
        <f>IFERROR(VLOOKUP(A221,Students!$A:$B,2,FALSE),"")</f>
        <v/>
      </c>
      <c r="C221" s="2" t="inlineStr">
        <is>
          <t>Fall 2025</t>
        </is>
      </c>
      <c r="D221" s="2" t="inlineStr">
        <is>
          <t>Semester 2</t>
        </is>
      </c>
      <c r="E221" s="2" t="inlineStr">
        <is>
          <t>DSC 590</t>
        </is>
      </c>
      <c r="F221" s="2">
        <f>IFERROR(VLOOKUP(E221,Courses!$A:$C,2,FALSE),"")</f>
        <v/>
      </c>
      <c r="G221" s="2">
        <f>IFERROR(VLOOKUP(E221,Courses!$A:$C,3,FALSE),0)</f>
        <v/>
      </c>
      <c r="H221" s="2" t="inlineStr">
        <is>
          <t>B-</t>
        </is>
      </c>
      <c r="I221" s="2" t="n">
        <v>82</v>
      </c>
      <c r="J221" s="2">
        <f>IFERROR(VLOOKUP(H221,'Grade Scale'!$A:$B,2,FALSE),0)</f>
        <v/>
      </c>
      <c r="K221" s="2">
        <f>J221*G221</f>
        <v/>
      </c>
      <c r="L221" s="2">
        <f>IF(H221="F",0,G221)</f>
        <v/>
      </c>
    </row>
    <row r="222">
      <c r="A222" s="2" t="inlineStr">
        <is>
          <t>m250205</t>
        </is>
      </c>
      <c r="B222" s="2">
        <f>IFERROR(VLOOKUP(A222,Students!$A:$B,2,FALSE),"")</f>
        <v/>
      </c>
      <c r="C222" s="2" t="inlineStr">
        <is>
          <t>Spring 2026</t>
        </is>
      </c>
      <c r="D222" s="2" t="inlineStr">
        <is>
          <t>Semester 3</t>
        </is>
      </c>
      <c r="E222" s="2" t="inlineStr">
        <is>
          <t>DSC 610</t>
        </is>
      </c>
      <c r="F222" s="2">
        <f>IFERROR(VLOOKUP(E222,Courses!$A:$C,2,FALSE),"")</f>
        <v/>
      </c>
      <c r="G222" s="2">
        <f>IFERROR(VLOOKUP(E222,Courses!$A:$C,3,FALSE),0)</f>
        <v/>
      </c>
      <c r="H222" s="2" t="inlineStr">
        <is>
          <t>B+</t>
        </is>
      </c>
      <c r="I222" s="2" t="n">
        <v>87</v>
      </c>
      <c r="J222" s="2">
        <f>IFERROR(VLOOKUP(H222,'Grade Scale'!$A:$B,2,FALSE),0)</f>
        <v/>
      </c>
      <c r="K222" s="2">
        <f>J222*G222</f>
        <v/>
      </c>
      <c r="L222" s="2">
        <f>IF(H222="F",0,G222)</f>
        <v/>
      </c>
    </row>
    <row r="223">
      <c r="A223" s="2" t="inlineStr">
        <is>
          <t>m250205</t>
        </is>
      </c>
      <c r="B223" s="2">
        <f>IFERROR(VLOOKUP(A223,Students!$A:$B,2,FALSE),"")</f>
        <v/>
      </c>
      <c r="C223" s="2" t="inlineStr">
        <is>
          <t>Spring 2026</t>
        </is>
      </c>
      <c r="D223" s="2" t="inlineStr">
        <is>
          <t>Semester 3</t>
        </is>
      </c>
      <c r="E223" s="2" t="inlineStr">
        <is>
          <t>DSC 620</t>
        </is>
      </c>
      <c r="F223" s="2">
        <f>IFERROR(VLOOKUP(E223,Courses!$A:$C,2,FALSE),"")</f>
        <v/>
      </c>
      <c r="G223" s="2">
        <f>IFERROR(VLOOKUP(E223,Courses!$A:$C,3,FALSE),0)</f>
        <v/>
      </c>
      <c r="H223" s="2" t="inlineStr">
        <is>
          <t>B+</t>
        </is>
      </c>
      <c r="I223" s="2" t="n">
        <v>89</v>
      </c>
      <c r="J223" s="2">
        <f>IFERROR(VLOOKUP(H223,'Grade Scale'!$A:$B,2,FALSE),0)</f>
        <v/>
      </c>
      <c r="K223" s="2">
        <f>J223*G223</f>
        <v/>
      </c>
      <c r="L223" s="2">
        <f>IF(H223="F",0,G223)</f>
        <v/>
      </c>
    </row>
    <row r="224">
      <c r="A224" s="2" t="inlineStr">
        <is>
          <t>m250205</t>
        </is>
      </c>
      <c r="B224" s="2">
        <f>IFERROR(VLOOKUP(A224,Students!$A:$B,2,FALSE),"")</f>
        <v/>
      </c>
      <c r="C224" s="2" t="inlineStr">
        <is>
          <t>Spring 2026</t>
        </is>
      </c>
      <c r="D224" s="2" t="inlineStr">
        <is>
          <t>Semester 3</t>
        </is>
      </c>
      <c r="E224" s="2" t="inlineStr">
        <is>
          <t>DSC 630</t>
        </is>
      </c>
      <c r="F224" s="2">
        <f>IFERROR(VLOOKUP(E224,Courses!$A:$C,2,FALSE),"")</f>
        <v/>
      </c>
      <c r="G224" s="2">
        <f>IFERROR(VLOOKUP(E224,Courses!$A:$C,3,FALSE),0)</f>
        <v/>
      </c>
      <c r="H224" s="2" t="inlineStr">
        <is>
          <t>C</t>
        </is>
      </c>
      <c r="I224" s="2" t="n">
        <v>76</v>
      </c>
      <c r="J224" s="2">
        <f>IFERROR(VLOOKUP(H224,'Grade Scale'!$A:$B,2,FALSE),0)</f>
        <v/>
      </c>
      <c r="K224" s="2">
        <f>J224*G224</f>
        <v/>
      </c>
      <c r="L224" s="2">
        <f>IF(H224="F",0,G224)</f>
        <v/>
      </c>
    </row>
    <row r="225">
      <c r="A225" s="2" t="inlineStr">
        <is>
          <t>m250205</t>
        </is>
      </c>
      <c r="B225" s="2">
        <f>IFERROR(VLOOKUP(A225,Students!$A:$B,2,FALSE),"")</f>
        <v/>
      </c>
      <c r="C225" s="2" t="inlineStr">
        <is>
          <t>Spring 2026</t>
        </is>
      </c>
      <c r="D225" s="2" t="inlineStr">
        <is>
          <t>Semester 3</t>
        </is>
      </c>
      <c r="E225" s="2" t="inlineStr">
        <is>
          <t>DSC 640</t>
        </is>
      </c>
      <c r="F225" s="2">
        <f>IFERROR(VLOOKUP(E225,Courses!$A:$C,2,FALSE),"")</f>
        <v/>
      </c>
      <c r="G225" s="2">
        <f>IFERROR(VLOOKUP(E225,Courses!$A:$C,3,FALSE),0)</f>
        <v/>
      </c>
      <c r="H225" s="2" t="inlineStr">
        <is>
          <t>B-</t>
        </is>
      </c>
      <c r="I225" s="2" t="n">
        <v>80</v>
      </c>
      <c r="J225" s="2">
        <f>IFERROR(VLOOKUP(H225,'Grade Scale'!$A:$B,2,FALSE),0)</f>
        <v/>
      </c>
      <c r="K225" s="2">
        <f>J225*G225</f>
        <v/>
      </c>
      <c r="L225" s="2">
        <f>IF(H225="F",0,G225)</f>
        <v/>
      </c>
    </row>
    <row r="226">
      <c r="A226" s="2" t="inlineStr">
        <is>
          <t>m250205</t>
        </is>
      </c>
      <c r="B226" s="2">
        <f>IFERROR(VLOOKUP(A226,Students!$A:$B,2,FALSE),"")</f>
        <v/>
      </c>
      <c r="C226" s="2" t="inlineStr">
        <is>
          <t>Spring 2026</t>
        </is>
      </c>
      <c r="D226" s="2" t="inlineStr">
        <is>
          <t>Semester 3</t>
        </is>
      </c>
      <c r="E226" s="2" t="inlineStr">
        <is>
          <t>DSC 690</t>
        </is>
      </c>
      <c r="F226" s="2">
        <f>IFERROR(VLOOKUP(E226,Courses!$A:$C,2,FALSE),"")</f>
        <v/>
      </c>
      <c r="G226" s="2">
        <f>IFERROR(VLOOKUP(E226,Courses!$A:$C,3,FALSE),0)</f>
        <v/>
      </c>
      <c r="H226" s="2" t="inlineStr">
        <is>
          <t>A-</t>
        </is>
      </c>
      <c r="I226" s="2" t="n">
        <v>90</v>
      </c>
      <c r="J226" s="2">
        <f>IFERROR(VLOOKUP(H226,'Grade Scale'!$A:$B,2,FALSE),0)</f>
        <v/>
      </c>
      <c r="K226" s="2">
        <f>J226*G226</f>
        <v/>
      </c>
      <c r="L226" s="2">
        <f>IF(H226="F",0,G226)</f>
        <v/>
      </c>
    </row>
    <row r="227">
      <c r="A227" s="2" t="inlineStr">
        <is>
          <t>m250206</t>
        </is>
      </c>
      <c r="B227" s="2">
        <f>IFERROR(VLOOKUP(A227,Students!$A:$B,2,FALSE),"")</f>
        <v/>
      </c>
      <c r="C227" s="2" t="inlineStr">
        <is>
          <t>Spring 2025</t>
        </is>
      </c>
      <c r="D227" s="2" t="inlineStr">
        <is>
          <t>Semester 1</t>
        </is>
      </c>
      <c r="E227" s="2" t="inlineStr">
        <is>
          <t>IRL 501</t>
        </is>
      </c>
      <c r="F227" s="2">
        <f>IFERROR(VLOOKUP(E227,Courses!$A:$C,2,FALSE),"")</f>
        <v/>
      </c>
      <c r="G227" s="2">
        <f>IFERROR(VLOOKUP(E227,Courses!$A:$C,3,FALSE),0)</f>
        <v/>
      </c>
      <c r="H227" s="2" t="inlineStr">
        <is>
          <t>A</t>
        </is>
      </c>
      <c r="I227" s="2" t="n">
        <v>93</v>
      </c>
      <c r="J227" s="2">
        <f>IFERROR(VLOOKUP(H227,'Grade Scale'!$A:$B,2,FALSE),0)</f>
        <v/>
      </c>
      <c r="K227" s="2">
        <f>J227*G227</f>
        <v/>
      </c>
      <c r="L227" s="2">
        <f>IF(H227="F",0,G227)</f>
        <v/>
      </c>
    </row>
    <row r="228">
      <c r="A228" s="2" t="inlineStr">
        <is>
          <t>m250206</t>
        </is>
      </c>
      <c r="B228" s="2">
        <f>IFERROR(VLOOKUP(A228,Students!$A:$B,2,FALSE),"")</f>
        <v/>
      </c>
      <c r="C228" s="2" t="inlineStr">
        <is>
          <t>Spring 2025</t>
        </is>
      </c>
      <c r="D228" s="2" t="inlineStr">
        <is>
          <t>Semester 1</t>
        </is>
      </c>
      <c r="E228" s="2" t="inlineStr">
        <is>
          <t>IRL 510</t>
        </is>
      </c>
      <c r="F228" s="2">
        <f>IFERROR(VLOOKUP(E228,Courses!$A:$C,2,FALSE),"")</f>
        <v/>
      </c>
      <c r="G228" s="2">
        <f>IFERROR(VLOOKUP(E228,Courses!$A:$C,3,FALSE),0)</f>
        <v/>
      </c>
      <c r="H228" s="2" t="inlineStr">
        <is>
          <t>B-</t>
        </is>
      </c>
      <c r="I228" s="2" t="n">
        <v>80</v>
      </c>
      <c r="J228" s="2">
        <f>IFERROR(VLOOKUP(H228,'Grade Scale'!$A:$B,2,FALSE),0)</f>
        <v/>
      </c>
      <c r="K228" s="2">
        <f>J228*G228</f>
        <v/>
      </c>
      <c r="L228" s="2">
        <f>IF(H228="F",0,G228)</f>
        <v/>
      </c>
    </row>
    <row r="229">
      <c r="A229" s="2" t="inlineStr">
        <is>
          <t>m250206</t>
        </is>
      </c>
      <c r="B229" s="2">
        <f>IFERROR(VLOOKUP(A229,Students!$A:$B,2,FALSE),"")</f>
        <v/>
      </c>
      <c r="C229" s="2" t="inlineStr">
        <is>
          <t>Spring 2025</t>
        </is>
      </c>
      <c r="D229" s="2" t="inlineStr">
        <is>
          <t>Semester 1</t>
        </is>
      </c>
      <c r="E229" s="2" t="inlineStr">
        <is>
          <t>IRL 520</t>
        </is>
      </c>
      <c r="F229" s="2">
        <f>IFERROR(VLOOKUP(E229,Courses!$A:$C,2,FALSE),"")</f>
        <v/>
      </c>
      <c r="G229" s="2">
        <f>IFERROR(VLOOKUP(E229,Courses!$A:$C,3,FALSE),0)</f>
        <v/>
      </c>
      <c r="H229" s="2" t="inlineStr">
        <is>
          <t>B</t>
        </is>
      </c>
      <c r="I229" s="2" t="n">
        <v>84</v>
      </c>
      <c r="J229" s="2">
        <f>IFERROR(VLOOKUP(H229,'Grade Scale'!$A:$B,2,FALSE),0)</f>
        <v/>
      </c>
      <c r="K229" s="2">
        <f>J229*G229</f>
        <v/>
      </c>
      <c r="L229" s="2">
        <f>IF(H229="F",0,G229)</f>
        <v/>
      </c>
    </row>
    <row r="230">
      <c r="A230" s="2" t="inlineStr">
        <is>
          <t>m250206</t>
        </is>
      </c>
      <c r="B230" s="2">
        <f>IFERROR(VLOOKUP(A230,Students!$A:$B,2,FALSE),"")</f>
        <v/>
      </c>
      <c r="C230" s="2" t="inlineStr">
        <is>
          <t>Spring 2025</t>
        </is>
      </c>
      <c r="D230" s="2" t="inlineStr">
        <is>
          <t>Semester 1</t>
        </is>
      </c>
      <c r="E230" s="2" t="inlineStr">
        <is>
          <t>IRL 530</t>
        </is>
      </c>
      <c r="F230" s="2">
        <f>IFERROR(VLOOKUP(E230,Courses!$A:$C,2,FALSE),"")</f>
        <v/>
      </c>
      <c r="G230" s="2">
        <f>IFERROR(VLOOKUP(E230,Courses!$A:$C,3,FALSE),0)</f>
        <v/>
      </c>
      <c r="H230" s="2" t="inlineStr">
        <is>
          <t>B+</t>
        </is>
      </c>
      <c r="I230" s="2" t="n">
        <v>88</v>
      </c>
      <c r="J230" s="2">
        <f>IFERROR(VLOOKUP(H230,'Grade Scale'!$A:$B,2,FALSE),0)</f>
        <v/>
      </c>
      <c r="K230" s="2">
        <f>J230*G230</f>
        <v/>
      </c>
      <c r="L230" s="2">
        <f>IF(H230="F",0,G230)</f>
        <v/>
      </c>
    </row>
    <row r="231">
      <c r="A231" s="2" t="inlineStr">
        <is>
          <t>m250206</t>
        </is>
      </c>
      <c r="B231" s="2">
        <f>IFERROR(VLOOKUP(A231,Students!$A:$B,2,FALSE),"")</f>
        <v/>
      </c>
      <c r="C231" s="2" t="inlineStr">
        <is>
          <t>Spring 2025</t>
        </is>
      </c>
      <c r="D231" s="2" t="inlineStr">
        <is>
          <t>Semester 1</t>
        </is>
      </c>
      <c r="E231" s="2" t="inlineStr">
        <is>
          <t>IRL 540</t>
        </is>
      </c>
      <c r="F231" s="2">
        <f>IFERROR(VLOOKUP(E231,Courses!$A:$C,2,FALSE),"")</f>
        <v/>
      </c>
      <c r="G231" s="2">
        <f>IFERROR(VLOOKUP(E231,Courses!$A:$C,3,FALSE),0)</f>
        <v/>
      </c>
      <c r="H231" s="2" t="inlineStr">
        <is>
          <t>A-</t>
        </is>
      </c>
      <c r="I231" s="2" t="n">
        <v>92</v>
      </c>
      <c r="J231" s="2">
        <f>IFERROR(VLOOKUP(H231,'Grade Scale'!$A:$B,2,FALSE),0)</f>
        <v/>
      </c>
      <c r="K231" s="2">
        <f>J231*G231</f>
        <v/>
      </c>
      <c r="L231" s="2">
        <f>IF(H231="F",0,G231)</f>
        <v/>
      </c>
    </row>
    <row r="232">
      <c r="A232" s="2" t="inlineStr">
        <is>
          <t>m250206</t>
        </is>
      </c>
      <c r="B232" s="2">
        <f>IFERROR(VLOOKUP(A232,Students!$A:$B,2,FALSE),"")</f>
        <v/>
      </c>
      <c r="C232" s="2" t="inlineStr">
        <is>
          <t>Fall 2025</t>
        </is>
      </c>
      <c r="D232" s="2" t="inlineStr">
        <is>
          <t>Semester 2</t>
        </is>
      </c>
      <c r="E232" s="2" t="inlineStr">
        <is>
          <t>IRL 550</t>
        </is>
      </c>
      <c r="F232" s="2">
        <f>IFERROR(VLOOKUP(E232,Courses!$A:$C,2,FALSE),"")</f>
        <v/>
      </c>
      <c r="G232" s="2">
        <f>IFERROR(VLOOKUP(E232,Courses!$A:$C,3,FALSE),0)</f>
        <v/>
      </c>
      <c r="H232" s="2" t="inlineStr">
        <is>
          <t>B</t>
        </is>
      </c>
      <c r="I232" s="2" t="n">
        <v>86</v>
      </c>
      <c r="J232" s="2">
        <f>IFERROR(VLOOKUP(H232,'Grade Scale'!$A:$B,2,FALSE),0)</f>
        <v/>
      </c>
      <c r="K232" s="2">
        <f>J232*G232</f>
        <v/>
      </c>
      <c r="L232" s="2">
        <f>IF(H232="F",0,G232)</f>
        <v/>
      </c>
    </row>
    <row r="233">
      <c r="A233" s="2" t="inlineStr">
        <is>
          <t>m250206</t>
        </is>
      </c>
      <c r="B233" s="2">
        <f>IFERROR(VLOOKUP(A233,Students!$A:$B,2,FALSE),"")</f>
        <v/>
      </c>
      <c r="C233" s="2" t="inlineStr">
        <is>
          <t>Fall 2025</t>
        </is>
      </c>
      <c r="D233" s="2" t="inlineStr">
        <is>
          <t>Semester 2</t>
        </is>
      </c>
      <c r="E233" s="2" t="inlineStr">
        <is>
          <t>IRL 560</t>
        </is>
      </c>
      <c r="F233" s="2">
        <f>IFERROR(VLOOKUP(E233,Courses!$A:$C,2,FALSE),"")</f>
        <v/>
      </c>
      <c r="G233" s="2">
        <f>IFERROR(VLOOKUP(E233,Courses!$A:$C,3,FALSE),0)</f>
        <v/>
      </c>
      <c r="H233" s="2" t="inlineStr">
        <is>
          <t>A</t>
        </is>
      </c>
      <c r="I233" s="2" t="n">
        <v>95</v>
      </c>
      <c r="J233" s="2">
        <f>IFERROR(VLOOKUP(H233,'Grade Scale'!$A:$B,2,FALSE),0)</f>
        <v/>
      </c>
      <c r="K233" s="2">
        <f>J233*G233</f>
        <v/>
      </c>
      <c r="L233" s="2">
        <f>IF(H233="F",0,G233)</f>
        <v/>
      </c>
    </row>
    <row r="234">
      <c r="A234" s="2" t="inlineStr">
        <is>
          <t>m250206</t>
        </is>
      </c>
      <c r="B234" s="2">
        <f>IFERROR(VLOOKUP(A234,Students!$A:$B,2,FALSE),"")</f>
        <v/>
      </c>
      <c r="C234" s="2" t="inlineStr">
        <is>
          <t>Fall 2025</t>
        </is>
      </c>
      <c r="D234" s="2" t="inlineStr">
        <is>
          <t>Semester 2</t>
        </is>
      </c>
      <c r="E234" s="2" t="inlineStr">
        <is>
          <t>IRL 570</t>
        </is>
      </c>
      <c r="F234" s="2">
        <f>IFERROR(VLOOKUP(E234,Courses!$A:$C,2,FALSE),"")</f>
        <v/>
      </c>
      <c r="G234" s="2">
        <f>IFERROR(VLOOKUP(E234,Courses!$A:$C,3,FALSE),0)</f>
        <v/>
      </c>
      <c r="H234" s="2" t="inlineStr">
        <is>
          <t>A-</t>
        </is>
      </c>
      <c r="I234" s="2" t="n">
        <v>91</v>
      </c>
      <c r="J234" s="2">
        <f>IFERROR(VLOOKUP(H234,'Grade Scale'!$A:$B,2,FALSE),0)</f>
        <v/>
      </c>
      <c r="K234" s="2">
        <f>J234*G234</f>
        <v/>
      </c>
      <c r="L234" s="2">
        <f>IF(H234="F",0,G234)</f>
        <v/>
      </c>
    </row>
    <row r="235">
      <c r="A235" s="2" t="inlineStr">
        <is>
          <t>m250206</t>
        </is>
      </c>
      <c r="B235" s="2">
        <f>IFERROR(VLOOKUP(A235,Students!$A:$B,2,FALSE),"")</f>
        <v/>
      </c>
      <c r="C235" s="2" t="inlineStr">
        <is>
          <t>Fall 2025</t>
        </is>
      </c>
      <c r="D235" s="2" t="inlineStr">
        <is>
          <t>Semester 2</t>
        </is>
      </c>
      <c r="E235" s="2" t="inlineStr">
        <is>
          <t>IRL 580</t>
        </is>
      </c>
      <c r="F235" s="2">
        <f>IFERROR(VLOOKUP(E235,Courses!$A:$C,2,FALSE),"")</f>
        <v/>
      </c>
      <c r="G235" s="2">
        <f>IFERROR(VLOOKUP(E235,Courses!$A:$C,3,FALSE),0)</f>
        <v/>
      </c>
      <c r="H235" s="2" t="inlineStr">
        <is>
          <t>A-</t>
        </is>
      </c>
      <c r="I235" s="2" t="n">
        <v>90</v>
      </c>
      <c r="J235" s="2">
        <f>IFERROR(VLOOKUP(H235,'Grade Scale'!$A:$B,2,FALSE),0)</f>
        <v/>
      </c>
      <c r="K235" s="2">
        <f>J235*G235</f>
        <v/>
      </c>
      <c r="L235" s="2">
        <f>IF(H235="F",0,G235)</f>
        <v/>
      </c>
    </row>
    <row r="236">
      <c r="A236" s="2" t="inlineStr">
        <is>
          <t>m250206</t>
        </is>
      </c>
      <c r="B236" s="2">
        <f>IFERROR(VLOOKUP(A236,Students!$A:$B,2,FALSE),"")</f>
        <v/>
      </c>
      <c r="C236" s="2" t="inlineStr">
        <is>
          <t>Fall 2025</t>
        </is>
      </c>
      <c r="D236" s="2" t="inlineStr">
        <is>
          <t>Semester 2</t>
        </is>
      </c>
      <c r="E236" s="2" t="inlineStr">
        <is>
          <t>IRL 590</t>
        </is>
      </c>
      <c r="F236" s="2">
        <f>IFERROR(VLOOKUP(E236,Courses!$A:$C,2,FALSE),"")</f>
        <v/>
      </c>
      <c r="G236" s="2">
        <f>IFERROR(VLOOKUP(E236,Courses!$A:$C,3,FALSE),0)</f>
        <v/>
      </c>
      <c r="H236" s="2" t="inlineStr">
        <is>
          <t>A-</t>
        </is>
      </c>
      <c r="I236" s="2" t="n">
        <v>91</v>
      </c>
      <c r="J236" s="2">
        <f>IFERROR(VLOOKUP(H236,'Grade Scale'!$A:$B,2,FALSE),0)</f>
        <v/>
      </c>
      <c r="K236" s="2">
        <f>J236*G236</f>
        <v/>
      </c>
      <c r="L236" s="2">
        <f>IF(H236="F",0,G236)</f>
        <v/>
      </c>
    </row>
    <row r="237">
      <c r="A237" s="2" t="inlineStr">
        <is>
          <t>m250206</t>
        </is>
      </c>
      <c r="B237" s="2">
        <f>IFERROR(VLOOKUP(A237,Students!$A:$B,2,FALSE),"")</f>
        <v/>
      </c>
      <c r="C237" s="2" t="inlineStr">
        <is>
          <t>Spring 2026</t>
        </is>
      </c>
      <c r="D237" s="2" t="inlineStr">
        <is>
          <t>Semester 3</t>
        </is>
      </c>
      <c r="E237" s="2" t="inlineStr">
        <is>
          <t>IRL 610</t>
        </is>
      </c>
      <c r="F237" s="2">
        <f>IFERROR(VLOOKUP(E237,Courses!$A:$C,2,FALSE),"")</f>
        <v/>
      </c>
      <c r="G237" s="2">
        <f>IFERROR(VLOOKUP(E237,Courses!$A:$C,3,FALSE),0)</f>
        <v/>
      </c>
      <c r="H237" s="2" t="inlineStr">
        <is>
          <t>B</t>
        </is>
      </c>
      <c r="I237" s="2" t="n">
        <v>86</v>
      </c>
      <c r="J237" s="2">
        <f>IFERROR(VLOOKUP(H237,'Grade Scale'!$A:$B,2,FALSE),0)</f>
        <v/>
      </c>
      <c r="K237" s="2">
        <f>J237*G237</f>
        <v/>
      </c>
      <c r="L237" s="2">
        <f>IF(H237="F",0,G237)</f>
        <v/>
      </c>
    </row>
    <row r="238">
      <c r="A238" s="2" t="inlineStr">
        <is>
          <t>m250206</t>
        </is>
      </c>
      <c r="B238" s="2">
        <f>IFERROR(VLOOKUP(A238,Students!$A:$B,2,FALSE),"")</f>
        <v/>
      </c>
      <c r="C238" s="2" t="inlineStr">
        <is>
          <t>Spring 2026</t>
        </is>
      </c>
      <c r="D238" s="2" t="inlineStr">
        <is>
          <t>Semester 3</t>
        </is>
      </c>
      <c r="E238" s="2" t="inlineStr">
        <is>
          <t>IRL 620</t>
        </is>
      </c>
      <c r="F238" s="2">
        <f>IFERROR(VLOOKUP(E238,Courses!$A:$C,2,FALSE),"")</f>
        <v/>
      </c>
      <c r="G238" s="2">
        <f>IFERROR(VLOOKUP(E238,Courses!$A:$C,3,FALSE),0)</f>
        <v/>
      </c>
      <c r="H238" s="2" t="inlineStr">
        <is>
          <t>B</t>
        </is>
      </c>
      <c r="I238" s="2" t="n">
        <v>83</v>
      </c>
      <c r="J238" s="2">
        <f>IFERROR(VLOOKUP(H238,'Grade Scale'!$A:$B,2,FALSE),0)</f>
        <v/>
      </c>
      <c r="K238" s="2">
        <f>J238*G238</f>
        <v/>
      </c>
      <c r="L238" s="2">
        <f>IF(H238="F",0,G238)</f>
        <v/>
      </c>
    </row>
    <row r="239">
      <c r="A239" s="2" t="inlineStr">
        <is>
          <t>m250206</t>
        </is>
      </c>
      <c r="B239" s="2">
        <f>IFERROR(VLOOKUP(A239,Students!$A:$B,2,FALSE),"")</f>
        <v/>
      </c>
      <c r="C239" s="2" t="inlineStr">
        <is>
          <t>Spring 2026</t>
        </is>
      </c>
      <c r="D239" s="2" t="inlineStr">
        <is>
          <t>Semester 3</t>
        </is>
      </c>
      <c r="E239" s="2" t="inlineStr">
        <is>
          <t>IRL 630</t>
        </is>
      </c>
      <c r="F239" s="2">
        <f>IFERROR(VLOOKUP(E239,Courses!$A:$C,2,FALSE),"")</f>
        <v/>
      </c>
      <c r="G239" s="2">
        <f>IFERROR(VLOOKUP(E239,Courses!$A:$C,3,FALSE),0)</f>
        <v/>
      </c>
      <c r="H239" s="2" t="inlineStr">
        <is>
          <t>C+</t>
        </is>
      </c>
      <c r="I239" s="2" t="n">
        <v>78</v>
      </c>
      <c r="J239" s="2">
        <f>IFERROR(VLOOKUP(H239,'Grade Scale'!$A:$B,2,FALSE),0)</f>
        <v/>
      </c>
      <c r="K239" s="2">
        <f>J239*G239</f>
        <v/>
      </c>
      <c r="L239" s="2">
        <f>IF(H239="F",0,G239)</f>
        <v/>
      </c>
    </row>
    <row r="240">
      <c r="A240" s="2" t="inlineStr">
        <is>
          <t>m250206</t>
        </is>
      </c>
      <c r="B240" s="2">
        <f>IFERROR(VLOOKUP(A240,Students!$A:$B,2,FALSE),"")</f>
        <v/>
      </c>
      <c r="C240" s="2" t="inlineStr">
        <is>
          <t>Spring 2026</t>
        </is>
      </c>
      <c r="D240" s="2" t="inlineStr">
        <is>
          <t>Semester 3</t>
        </is>
      </c>
      <c r="E240" s="2" t="inlineStr">
        <is>
          <t>IRL 640</t>
        </is>
      </c>
      <c r="F240" s="2">
        <f>IFERROR(VLOOKUP(E240,Courses!$A:$C,2,FALSE),"")</f>
        <v/>
      </c>
      <c r="G240" s="2">
        <f>IFERROR(VLOOKUP(E240,Courses!$A:$C,3,FALSE),0)</f>
        <v/>
      </c>
      <c r="H240" s="2" t="inlineStr">
        <is>
          <t>B</t>
        </is>
      </c>
      <c r="I240" s="2" t="n">
        <v>86</v>
      </c>
      <c r="J240" s="2">
        <f>IFERROR(VLOOKUP(H240,'Grade Scale'!$A:$B,2,FALSE),0)</f>
        <v/>
      </c>
      <c r="K240" s="2">
        <f>J240*G240</f>
        <v/>
      </c>
      <c r="L240" s="2">
        <f>IF(H240="F",0,G240)</f>
        <v/>
      </c>
    </row>
    <row r="241">
      <c r="A241" s="2" t="inlineStr">
        <is>
          <t>m250206</t>
        </is>
      </c>
      <c r="B241" s="2">
        <f>IFERROR(VLOOKUP(A241,Students!$A:$B,2,FALSE),"")</f>
        <v/>
      </c>
      <c r="C241" s="2" t="inlineStr">
        <is>
          <t>Spring 2026</t>
        </is>
      </c>
      <c r="D241" s="2" t="inlineStr">
        <is>
          <t>Semester 3</t>
        </is>
      </c>
      <c r="E241" s="2" t="inlineStr">
        <is>
          <t>IRL 690</t>
        </is>
      </c>
      <c r="F241" s="2">
        <f>IFERROR(VLOOKUP(E241,Courses!$A:$C,2,FALSE),"")</f>
        <v/>
      </c>
      <c r="G241" s="2">
        <f>IFERROR(VLOOKUP(E241,Courses!$A:$C,3,FALSE),0)</f>
        <v/>
      </c>
      <c r="H241" s="2" t="inlineStr">
        <is>
          <t>B</t>
        </is>
      </c>
      <c r="I241" s="2" t="n">
        <v>83</v>
      </c>
      <c r="J241" s="2">
        <f>IFERROR(VLOOKUP(H241,'Grade Scale'!$A:$B,2,FALSE),0)</f>
        <v/>
      </c>
      <c r="K241" s="2">
        <f>J241*G241</f>
        <v/>
      </c>
      <c r="L241" s="2">
        <f>IF(H241="F",0,G241)</f>
        <v/>
      </c>
    </row>
    <row r="242">
      <c r="A242" s="2" t="inlineStr">
        <is>
          <t>m250207</t>
        </is>
      </c>
      <c r="B242" s="2">
        <f>IFERROR(VLOOKUP(A242,Students!$A:$B,2,FALSE),"")</f>
        <v/>
      </c>
      <c r="C242" s="2" t="inlineStr">
        <is>
          <t>Spring 2025</t>
        </is>
      </c>
      <c r="D242" s="2" t="inlineStr">
        <is>
          <t>Semester 1</t>
        </is>
      </c>
      <c r="E242" s="2" t="inlineStr">
        <is>
          <t>CIV 101</t>
        </is>
      </c>
      <c r="F242" s="2">
        <f>IFERROR(VLOOKUP(E242,Courses!$A:$C,2,FALSE),"")</f>
        <v/>
      </c>
      <c r="G242" s="2">
        <f>IFERROR(VLOOKUP(E242,Courses!$A:$C,3,FALSE),0)</f>
        <v/>
      </c>
      <c r="H242" s="2" t="inlineStr">
        <is>
          <t>D+</t>
        </is>
      </c>
      <c r="I242" s="2" t="n">
        <v>67</v>
      </c>
      <c r="J242" s="2">
        <f>IFERROR(VLOOKUP(H242,'Grade Scale'!$A:$B,2,FALSE),0)</f>
        <v/>
      </c>
      <c r="K242" s="2">
        <f>J242*G242</f>
        <v/>
      </c>
      <c r="L242" s="2">
        <f>IF(H242="F",0,G242)</f>
        <v/>
      </c>
    </row>
    <row r="243">
      <c r="A243" s="2" t="inlineStr">
        <is>
          <t>m250207</t>
        </is>
      </c>
      <c r="B243" s="2">
        <f>IFERROR(VLOOKUP(A243,Students!$A:$B,2,FALSE),"")</f>
        <v/>
      </c>
      <c r="C243" s="2" t="inlineStr">
        <is>
          <t>Spring 2025</t>
        </is>
      </c>
      <c r="D243" s="2" t="inlineStr">
        <is>
          <t>Semester 1</t>
        </is>
      </c>
      <c r="E243" s="2" t="inlineStr">
        <is>
          <t>MTH 120</t>
        </is>
      </c>
      <c r="F243" s="2">
        <f>IFERROR(VLOOKUP(E243,Courses!$A:$C,2,FALSE),"")</f>
        <v/>
      </c>
      <c r="G243" s="2">
        <f>IFERROR(VLOOKUP(E243,Courses!$A:$C,3,FALSE),0)</f>
        <v/>
      </c>
      <c r="H243" s="2" t="inlineStr">
        <is>
          <t>D+</t>
        </is>
      </c>
      <c r="I243" s="2" t="n">
        <v>67</v>
      </c>
      <c r="J243" s="2">
        <f>IFERROR(VLOOKUP(H243,'Grade Scale'!$A:$B,2,FALSE),0)</f>
        <v/>
      </c>
      <c r="K243" s="2">
        <f>J243*G243</f>
        <v/>
      </c>
      <c r="L243" s="2">
        <f>IF(H243="F",0,G243)</f>
        <v/>
      </c>
    </row>
    <row r="244">
      <c r="A244" s="2" t="inlineStr">
        <is>
          <t>m250207</t>
        </is>
      </c>
      <c r="B244" s="2">
        <f>IFERROR(VLOOKUP(A244,Students!$A:$B,2,FALSE),"")</f>
        <v/>
      </c>
      <c r="C244" s="2" t="inlineStr">
        <is>
          <t>Spring 2025</t>
        </is>
      </c>
      <c r="D244" s="2" t="inlineStr">
        <is>
          <t>Semester 1</t>
        </is>
      </c>
      <c r="E244" s="2" t="inlineStr">
        <is>
          <t>PHY 101</t>
        </is>
      </c>
      <c r="F244" s="2">
        <f>IFERROR(VLOOKUP(E244,Courses!$A:$C,2,FALSE),"")</f>
        <v/>
      </c>
      <c r="G244" s="2">
        <f>IFERROR(VLOOKUP(E244,Courses!$A:$C,3,FALSE),0)</f>
        <v/>
      </c>
      <c r="H244" s="2" t="inlineStr">
        <is>
          <t>C-</t>
        </is>
      </c>
      <c r="I244" s="2" t="n">
        <v>70</v>
      </c>
      <c r="J244" s="2">
        <f>IFERROR(VLOOKUP(H244,'Grade Scale'!$A:$B,2,FALSE),0)</f>
        <v/>
      </c>
      <c r="K244" s="2">
        <f>J244*G244</f>
        <v/>
      </c>
      <c r="L244" s="2">
        <f>IF(H244="F",0,G244)</f>
        <v/>
      </c>
    </row>
    <row r="245">
      <c r="A245" s="2" t="inlineStr">
        <is>
          <t>m250207</t>
        </is>
      </c>
      <c r="B245" s="2">
        <f>IFERROR(VLOOKUP(A245,Students!$A:$B,2,FALSE),"")</f>
        <v/>
      </c>
      <c r="C245" s="2" t="inlineStr">
        <is>
          <t>Spring 2025</t>
        </is>
      </c>
      <c r="D245" s="2" t="inlineStr">
        <is>
          <t>Semester 1</t>
        </is>
      </c>
      <c r="E245" s="2" t="inlineStr">
        <is>
          <t>ENG 101</t>
        </is>
      </c>
      <c r="F245" s="2">
        <f>IFERROR(VLOOKUP(E245,Courses!$A:$C,2,FALSE),"")</f>
        <v/>
      </c>
      <c r="G245" s="2">
        <f>IFERROR(VLOOKUP(E245,Courses!$A:$C,3,FALSE),0)</f>
        <v/>
      </c>
      <c r="H245" s="2" t="inlineStr">
        <is>
          <t>B</t>
        </is>
      </c>
      <c r="I245" s="2" t="n">
        <v>83</v>
      </c>
      <c r="J245" s="2">
        <f>IFERROR(VLOOKUP(H245,'Grade Scale'!$A:$B,2,FALSE),0)</f>
        <v/>
      </c>
      <c r="K245" s="2">
        <f>J245*G245</f>
        <v/>
      </c>
      <c r="L245" s="2">
        <f>IF(H245="F",0,G245)</f>
        <v/>
      </c>
    </row>
    <row r="246">
      <c r="A246" s="2" t="inlineStr">
        <is>
          <t>m250207</t>
        </is>
      </c>
      <c r="B246" s="2">
        <f>IFERROR(VLOOKUP(A246,Students!$A:$B,2,FALSE),"")</f>
        <v/>
      </c>
      <c r="C246" s="2" t="inlineStr">
        <is>
          <t>Spring 2025</t>
        </is>
      </c>
      <c r="D246" s="2" t="inlineStr">
        <is>
          <t>Semester 1</t>
        </is>
      </c>
      <c r="E246" s="2" t="inlineStr">
        <is>
          <t>CHM 101</t>
        </is>
      </c>
      <c r="F246" s="2">
        <f>IFERROR(VLOOKUP(E246,Courses!$A:$C,2,FALSE),"")</f>
        <v/>
      </c>
      <c r="G246" s="2">
        <f>IFERROR(VLOOKUP(E246,Courses!$A:$C,3,FALSE),0)</f>
        <v/>
      </c>
      <c r="H246" s="2" t="inlineStr">
        <is>
          <t>C-</t>
        </is>
      </c>
      <c r="I246" s="2" t="n">
        <v>71</v>
      </c>
      <c r="J246" s="2">
        <f>IFERROR(VLOOKUP(H246,'Grade Scale'!$A:$B,2,FALSE),0)</f>
        <v/>
      </c>
      <c r="K246" s="2">
        <f>J246*G246</f>
        <v/>
      </c>
      <c r="L246" s="2">
        <f>IF(H246="F",0,G246)</f>
        <v/>
      </c>
    </row>
    <row r="247">
      <c r="A247" s="2" t="inlineStr">
        <is>
          <t>m250207</t>
        </is>
      </c>
      <c r="B247" s="2">
        <f>IFERROR(VLOOKUP(A247,Students!$A:$B,2,FALSE),"")</f>
        <v/>
      </c>
      <c r="C247" s="2" t="inlineStr">
        <is>
          <t>Fall 2025</t>
        </is>
      </c>
      <c r="D247" s="2" t="inlineStr">
        <is>
          <t>Semester 2</t>
        </is>
      </c>
      <c r="E247" s="2" t="inlineStr">
        <is>
          <t>CIV 150</t>
        </is>
      </c>
      <c r="F247" s="2">
        <f>IFERROR(VLOOKUP(E247,Courses!$A:$C,2,FALSE),"")</f>
        <v/>
      </c>
      <c r="G247" s="2">
        <f>IFERROR(VLOOKUP(E247,Courses!$A:$C,3,FALSE),0)</f>
        <v/>
      </c>
      <c r="H247" s="2" t="inlineStr">
        <is>
          <t>C+</t>
        </is>
      </c>
      <c r="I247" s="2" t="n">
        <v>77</v>
      </c>
      <c r="J247" s="2">
        <f>IFERROR(VLOOKUP(H247,'Grade Scale'!$A:$B,2,FALSE),0)</f>
        <v/>
      </c>
      <c r="K247" s="2">
        <f>J247*G247</f>
        <v/>
      </c>
      <c r="L247" s="2">
        <f>IF(H247="F",0,G247)</f>
        <v/>
      </c>
    </row>
    <row r="248">
      <c r="A248" s="2" t="inlineStr">
        <is>
          <t>m250207</t>
        </is>
      </c>
      <c r="B248" s="2">
        <f>IFERROR(VLOOKUP(A248,Students!$A:$B,2,FALSE),"")</f>
        <v/>
      </c>
      <c r="C248" s="2" t="inlineStr">
        <is>
          <t>Fall 2025</t>
        </is>
      </c>
      <c r="D248" s="2" t="inlineStr">
        <is>
          <t>Semester 2</t>
        </is>
      </c>
      <c r="E248" s="2" t="inlineStr">
        <is>
          <t>MTH 140</t>
        </is>
      </c>
      <c r="F248" s="2">
        <f>IFERROR(VLOOKUP(E248,Courses!$A:$C,2,FALSE),"")</f>
        <v/>
      </c>
      <c r="G248" s="2">
        <f>IFERROR(VLOOKUP(E248,Courses!$A:$C,3,FALSE),0)</f>
        <v/>
      </c>
      <c r="H248" s="2" t="inlineStr">
        <is>
          <t>C-</t>
        </is>
      </c>
      <c r="I248" s="2" t="n">
        <v>72</v>
      </c>
      <c r="J248" s="2">
        <f>IFERROR(VLOOKUP(H248,'Grade Scale'!$A:$B,2,FALSE),0)</f>
        <v/>
      </c>
      <c r="K248" s="2">
        <f>J248*G248</f>
        <v/>
      </c>
      <c r="L248" s="2">
        <f>IF(H248="F",0,G248)</f>
        <v/>
      </c>
    </row>
    <row r="249">
      <c r="A249" s="2" t="inlineStr">
        <is>
          <t>m250207</t>
        </is>
      </c>
      <c r="B249" s="2">
        <f>IFERROR(VLOOKUP(A249,Students!$A:$B,2,FALSE),"")</f>
        <v/>
      </c>
      <c r="C249" s="2" t="inlineStr">
        <is>
          <t>Fall 2025</t>
        </is>
      </c>
      <c r="D249" s="2" t="inlineStr">
        <is>
          <t>Semester 2</t>
        </is>
      </c>
      <c r="E249" s="2" t="inlineStr">
        <is>
          <t>PHY 102</t>
        </is>
      </c>
      <c r="F249" s="2">
        <f>IFERROR(VLOOKUP(E249,Courses!$A:$C,2,FALSE),"")</f>
        <v/>
      </c>
      <c r="G249" s="2">
        <f>IFERROR(VLOOKUP(E249,Courses!$A:$C,3,FALSE),0)</f>
        <v/>
      </c>
      <c r="H249" s="2" t="inlineStr">
        <is>
          <t>C</t>
        </is>
      </c>
      <c r="I249" s="2" t="n">
        <v>74</v>
      </c>
      <c r="J249" s="2">
        <f>IFERROR(VLOOKUP(H249,'Grade Scale'!$A:$B,2,FALSE),0)</f>
        <v/>
      </c>
      <c r="K249" s="2">
        <f>J249*G249</f>
        <v/>
      </c>
      <c r="L249" s="2">
        <f>IF(H249="F",0,G249)</f>
        <v/>
      </c>
    </row>
    <row r="250">
      <c r="A250" s="2" t="inlineStr">
        <is>
          <t>m250207</t>
        </is>
      </c>
      <c r="B250" s="2">
        <f>IFERROR(VLOOKUP(A250,Students!$A:$B,2,FALSE),"")</f>
        <v/>
      </c>
      <c r="C250" s="2" t="inlineStr">
        <is>
          <t>Fall 2025</t>
        </is>
      </c>
      <c r="D250" s="2" t="inlineStr">
        <is>
          <t>Semester 2</t>
        </is>
      </c>
      <c r="E250" s="2" t="inlineStr">
        <is>
          <t>ENG 102</t>
        </is>
      </c>
      <c r="F250" s="2">
        <f>IFERROR(VLOOKUP(E250,Courses!$A:$C,2,FALSE),"")</f>
        <v/>
      </c>
      <c r="G250" s="2">
        <f>IFERROR(VLOOKUP(E250,Courses!$A:$C,3,FALSE),0)</f>
        <v/>
      </c>
      <c r="H250" s="2" t="inlineStr">
        <is>
          <t>D</t>
        </is>
      </c>
      <c r="I250" s="2" t="n">
        <v>61</v>
      </c>
      <c r="J250" s="2">
        <f>IFERROR(VLOOKUP(H250,'Grade Scale'!$A:$B,2,FALSE),0)</f>
        <v/>
      </c>
      <c r="K250" s="2">
        <f>J250*G250</f>
        <v/>
      </c>
      <c r="L250" s="2">
        <f>IF(H250="F",0,G250)</f>
        <v/>
      </c>
    </row>
    <row r="251">
      <c r="A251" s="2" t="inlineStr">
        <is>
          <t>m250207</t>
        </is>
      </c>
      <c r="B251" s="2">
        <f>IFERROR(VLOOKUP(A251,Students!$A:$B,2,FALSE),"")</f>
        <v/>
      </c>
      <c r="C251" s="2" t="inlineStr">
        <is>
          <t>Fall 2025</t>
        </is>
      </c>
      <c r="D251" s="2" t="inlineStr">
        <is>
          <t>Semester 2</t>
        </is>
      </c>
      <c r="E251" s="2" t="inlineStr">
        <is>
          <t>CIV 160</t>
        </is>
      </c>
      <c r="F251" s="2">
        <f>IFERROR(VLOOKUP(E251,Courses!$A:$C,2,FALSE),"")</f>
        <v/>
      </c>
      <c r="G251" s="2">
        <f>IFERROR(VLOOKUP(E251,Courses!$A:$C,3,FALSE),0)</f>
        <v/>
      </c>
      <c r="H251" s="2" t="inlineStr">
        <is>
          <t>C+</t>
        </is>
      </c>
      <c r="I251" s="2" t="n">
        <v>79</v>
      </c>
      <c r="J251" s="2">
        <f>IFERROR(VLOOKUP(H251,'Grade Scale'!$A:$B,2,FALSE),0)</f>
        <v/>
      </c>
      <c r="K251" s="2">
        <f>J251*G251</f>
        <v/>
      </c>
      <c r="L251" s="2">
        <f>IF(H251="F",0,G251)</f>
        <v/>
      </c>
    </row>
    <row r="252">
      <c r="A252" s="2" t="inlineStr">
        <is>
          <t>m250207</t>
        </is>
      </c>
      <c r="B252" s="2">
        <f>IFERROR(VLOOKUP(A252,Students!$A:$B,2,FALSE),"")</f>
        <v/>
      </c>
      <c r="C252" s="2" t="inlineStr">
        <is>
          <t>Spring 2026</t>
        </is>
      </c>
      <c r="D252" s="2" t="inlineStr">
        <is>
          <t>Semester 3</t>
        </is>
      </c>
      <c r="E252" s="2" t="inlineStr">
        <is>
          <t>CIV 210</t>
        </is>
      </c>
      <c r="F252" s="2">
        <f>IFERROR(VLOOKUP(E252,Courses!$A:$C,2,FALSE),"")</f>
        <v/>
      </c>
      <c r="G252" s="2">
        <f>IFERROR(VLOOKUP(E252,Courses!$A:$C,3,FALSE),0)</f>
        <v/>
      </c>
      <c r="H252" s="2" t="inlineStr">
        <is>
          <t>C</t>
        </is>
      </c>
      <c r="I252" s="2" t="n">
        <v>73</v>
      </c>
      <c r="J252" s="2">
        <f>IFERROR(VLOOKUP(H252,'Grade Scale'!$A:$B,2,FALSE),0)</f>
        <v/>
      </c>
      <c r="K252" s="2">
        <f>J252*G252</f>
        <v/>
      </c>
      <c r="L252" s="2">
        <f>IF(H252="F",0,G252)</f>
        <v/>
      </c>
    </row>
    <row r="253">
      <c r="A253" s="2" t="inlineStr">
        <is>
          <t>m250207</t>
        </is>
      </c>
      <c r="B253" s="2">
        <f>IFERROR(VLOOKUP(A253,Students!$A:$B,2,FALSE),"")</f>
        <v/>
      </c>
      <c r="C253" s="2" t="inlineStr">
        <is>
          <t>Spring 2026</t>
        </is>
      </c>
      <c r="D253" s="2" t="inlineStr">
        <is>
          <t>Semester 3</t>
        </is>
      </c>
      <c r="E253" s="2" t="inlineStr">
        <is>
          <t>CIV 220</t>
        </is>
      </c>
      <c r="F253" s="2">
        <f>IFERROR(VLOOKUP(E253,Courses!$A:$C,2,FALSE),"")</f>
        <v/>
      </c>
      <c r="G253" s="2">
        <f>IFERROR(VLOOKUP(E253,Courses!$A:$C,3,FALSE),0)</f>
        <v/>
      </c>
      <c r="H253" s="2" t="inlineStr">
        <is>
          <t>D</t>
        </is>
      </c>
      <c r="I253" s="2" t="n">
        <v>66</v>
      </c>
      <c r="J253" s="2">
        <f>IFERROR(VLOOKUP(H253,'Grade Scale'!$A:$B,2,FALSE),0)</f>
        <v/>
      </c>
      <c r="K253" s="2">
        <f>J253*G253</f>
        <v/>
      </c>
      <c r="L253" s="2">
        <f>IF(H253="F",0,G253)</f>
        <v/>
      </c>
    </row>
    <row r="254">
      <c r="A254" s="2" t="inlineStr">
        <is>
          <t>m250207</t>
        </is>
      </c>
      <c r="B254" s="2">
        <f>IFERROR(VLOOKUP(A254,Students!$A:$B,2,FALSE),"")</f>
        <v/>
      </c>
      <c r="C254" s="2" t="inlineStr">
        <is>
          <t>Spring 2026</t>
        </is>
      </c>
      <c r="D254" s="2" t="inlineStr">
        <is>
          <t>Semester 3</t>
        </is>
      </c>
      <c r="E254" s="2" t="inlineStr">
        <is>
          <t>CIV 230</t>
        </is>
      </c>
      <c r="F254" s="2">
        <f>IFERROR(VLOOKUP(E254,Courses!$A:$C,2,FALSE),"")</f>
        <v/>
      </c>
      <c r="G254" s="2">
        <f>IFERROR(VLOOKUP(E254,Courses!$A:$C,3,FALSE),0)</f>
        <v/>
      </c>
      <c r="H254" s="2" t="inlineStr">
        <is>
          <t>C</t>
        </is>
      </c>
      <c r="I254" s="2" t="n">
        <v>75</v>
      </c>
      <c r="J254" s="2">
        <f>IFERROR(VLOOKUP(H254,'Grade Scale'!$A:$B,2,FALSE),0)</f>
        <v/>
      </c>
      <c r="K254" s="2">
        <f>J254*G254</f>
        <v/>
      </c>
      <c r="L254" s="2">
        <f>IF(H254="F",0,G254)</f>
        <v/>
      </c>
    </row>
    <row r="255">
      <c r="A255" s="2" t="inlineStr">
        <is>
          <t>m250207</t>
        </is>
      </c>
      <c r="B255" s="2">
        <f>IFERROR(VLOOKUP(A255,Students!$A:$B,2,FALSE),"")</f>
        <v/>
      </c>
      <c r="C255" s="2" t="inlineStr">
        <is>
          <t>Spring 2026</t>
        </is>
      </c>
      <c r="D255" s="2" t="inlineStr">
        <is>
          <t>Semester 3</t>
        </is>
      </c>
      <c r="E255" s="2" t="inlineStr">
        <is>
          <t>MTH 210</t>
        </is>
      </c>
      <c r="F255" s="2">
        <f>IFERROR(VLOOKUP(E255,Courses!$A:$C,2,FALSE),"")</f>
        <v/>
      </c>
      <c r="G255" s="2">
        <f>IFERROR(VLOOKUP(E255,Courses!$A:$C,3,FALSE),0)</f>
        <v/>
      </c>
      <c r="H255" s="2" t="inlineStr">
        <is>
          <t>C-</t>
        </is>
      </c>
      <c r="I255" s="2" t="n">
        <v>72</v>
      </c>
      <c r="J255" s="2">
        <f>IFERROR(VLOOKUP(H255,'Grade Scale'!$A:$B,2,FALSE),0)</f>
        <v/>
      </c>
      <c r="K255" s="2">
        <f>J255*G255</f>
        <v/>
      </c>
      <c r="L255" s="2">
        <f>IF(H255="F",0,G255)</f>
        <v/>
      </c>
    </row>
    <row r="256">
      <c r="A256" s="2" t="inlineStr">
        <is>
          <t>m250207</t>
        </is>
      </c>
      <c r="B256" s="2">
        <f>IFERROR(VLOOKUP(A256,Students!$A:$B,2,FALSE),"")</f>
        <v/>
      </c>
      <c r="C256" s="2" t="inlineStr">
        <is>
          <t>Spring 2026</t>
        </is>
      </c>
      <c r="D256" s="2" t="inlineStr">
        <is>
          <t>Semester 3</t>
        </is>
      </c>
      <c r="E256" s="2" t="inlineStr">
        <is>
          <t>CIV 240</t>
        </is>
      </c>
      <c r="F256" s="2">
        <f>IFERROR(VLOOKUP(E256,Courses!$A:$C,2,FALSE),"")</f>
        <v/>
      </c>
      <c r="G256" s="2">
        <f>IFERROR(VLOOKUP(E256,Courses!$A:$C,3,FALSE),0)</f>
        <v/>
      </c>
      <c r="H256" s="2" t="inlineStr">
        <is>
          <t>C</t>
        </is>
      </c>
      <c r="I256" s="2" t="n">
        <v>75</v>
      </c>
      <c r="J256" s="2">
        <f>IFERROR(VLOOKUP(H256,'Grade Scale'!$A:$B,2,FALSE),0)</f>
        <v/>
      </c>
      <c r="K256" s="2">
        <f>J256*G256</f>
        <v/>
      </c>
      <c r="L256" s="2">
        <f>IF(H256="F",0,G256)</f>
        <v/>
      </c>
    </row>
    <row r="257">
      <c r="A257" s="2" t="inlineStr">
        <is>
          <t>m250208</t>
        </is>
      </c>
      <c r="B257" s="2">
        <f>IFERROR(VLOOKUP(A257,Students!$A:$B,2,FALSE),"")</f>
        <v/>
      </c>
      <c r="C257" s="2" t="inlineStr">
        <is>
          <t>Spring 2025</t>
        </is>
      </c>
      <c r="D257" s="2" t="inlineStr">
        <is>
          <t>Semester 1</t>
        </is>
      </c>
      <c r="E257" s="2" t="inlineStr">
        <is>
          <t>ART 101</t>
        </is>
      </c>
      <c r="F257" s="2">
        <f>IFERROR(VLOOKUP(E257,Courses!$A:$C,2,FALSE),"")</f>
        <v/>
      </c>
      <c r="G257" s="2">
        <f>IFERROR(VLOOKUP(E257,Courses!$A:$C,3,FALSE),0)</f>
        <v/>
      </c>
      <c r="H257" s="2" t="inlineStr">
        <is>
          <t>A</t>
        </is>
      </c>
      <c r="I257" s="2" t="n">
        <v>95</v>
      </c>
      <c r="J257" s="2">
        <f>IFERROR(VLOOKUP(H257,'Grade Scale'!$A:$B,2,FALSE),0)</f>
        <v/>
      </c>
      <c r="K257" s="2">
        <f>J257*G257</f>
        <v/>
      </c>
      <c r="L257" s="2">
        <f>IF(H257="F",0,G257)</f>
        <v/>
      </c>
    </row>
    <row r="258">
      <c r="A258" s="2" t="inlineStr">
        <is>
          <t>m250208</t>
        </is>
      </c>
      <c r="B258" s="2">
        <f>IFERROR(VLOOKUP(A258,Students!$A:$B,2,FALSE),"")</f>
        <v/>
      </c>
      <c r="C258" s="2" t="inlineStr">
        <is>
          <t>Spring 2025</t>
        </is>
      </c>
      <c r="D258" s="2" t="inlineStr">
        <is>
          <t>Semester 1</t>
        </is>
      </c>
      <c r="E258" s="2" t="inlineStr">
        <is>
          <t>DES 101</t>
        </is>
      </c>
      <c r="F258" s="2">
        <f>IFERROR(VLOOKUP(E258,Courses!$A:$C,2,FALSE),"")</f>
        <v/>
      </c>
      <c r="G258" s="2">
        <f>IFERROR(VLOOKUP(E258,Courses!$A:$C,3,FALSE),0)</f>
        <v/>
      </c>
      <c r="H258" s="2" t="inlineStr">
        <is>
          <t>A-</t>
        </is>
      </c>
      <c r="I258" s="2" t="n">
        <v>92</v>
      </c>
      <c r="J258" s="2">
        <f>IFERROR(VLOOKUP(H258,'Grade Scale'!$A:$B,2,FALSE),0)</f>
        <v/>
      </c>
      <c r="K258" s="2">
        <f>J258*G258</f>
        <v/>
      </c>
      <c r="L258" s="2">
        <f>IF(H258="F",0,G258)</f>
        <v/>
      </c>
    </row>
    <row r="259">
      <c r="A259" s="2" t="inlineStr">
        <is>
          <t>m250208</t>
        </is>
      </c>
      <c r="B259" s="2">
        <f>IFERROR(VLOOKUP(A259,Students!$A:$B,2,FALSE),"")</f>
        <v/>
      </c>
      <c r="C259" s="2" t="inlineStr">
        <is>
          <t>Spring 2025</t>
        </is>
      </c>
      <c r="D259" s="2" t="inlineStr">
        <is>
          <t>Semester 1</t>
        </is>
      </c>
      <c r="E259" s="2" t="inlineStr">
        <is>
          <t>ART 110</t>
        </is>
      </c>
      <c r="F259" s="2">
        <f>IFERROR(VLOOKUP(E259,Courses!$A:$C,2,FALSE),"")</f>
        <v/>
      </c>
      <c r="G259" s="2">
        <f>IFERROR(VLOOKUP(E259,Courses!$A:$C,3,FALSE),0)</f>
        <v/>
      </c>
      <c r="H259" s="2" t="inlineStr">
        <is>
          <t>B+</t>
        </is>
      </c>
      <c r="I259" s="2" t="n">
        <v>88</v>
      </c>
      <c r="J259" s="2">
        <f>IFERROR(VLOOKUP(H259,'Grade Scale'!$A:$B,2,FALSE),0)</f>
        <v/>
      </c>
      <c r="K259" s="2">
        <f>J259*G259</f>
        <v/>
      </c>
      <c r="L259" s="2">
        <f>IF(H259="F",0,G259)</f>
        <v/>
      </c>
    </row>
    <row r="260">
      <c r="A260" s="2" t="inlineStr">
        <is>
          <t>m250208</t>
        </is>
      </c>
      <c r="B260" s="2">
        <f>IFERROR(VLOOKUP(A260,Students!$A:$B,2,FALSE),"")</f>
        <v/>
      </c>
      <c r="C260" s="2" t="inlineStr">
        <is>
          <t>Spring 2025</t>
        </is>
      </c>
      <c r="D260" s="2" t="inlineStr">
        <is>
          <t>Semester 1</t>
        </is>
      </c>
      <c r="E260" s="2" t="inlineStr">
        <is>
          <t>ENG 101</t>
        </is>
      </c>
      <c r="F260" s="2">
        <f>IFERROR(VLOOKUP(E260,Courses!$A:$C,2,FALSE),"")</f>
        <v/>
      </c>
      <c r="G260" s="2">
        <f>IFERROR(VLOOKUP(E260,Courses!$A:$C,3,FALSE),0)</f>
        <v/>
      </c>
      <c r="H260" s="2" t="inlineStr">
        <is>
          <t>A</t>
        </is>
      </c>
      <c r="I260" s="2" t="n">
        <v>100</v>
      </c>
      <c r="J260" s="2">
        <f>IFERROR(VLOOKUP(H260,'Grade Scale'!$A:$B,2,FALSE),0)</f>
        <v/>
      </c>
      <c r="K260" s="2">
        <f>J260*G260</f>
        <v/>
      </c>
      <c r="L260" s="2">
        <f>IF(H260="F",0,G260)</f>
        <v/>
      </c>
    </row>
    <row r="261">
      <c r="A261" s="2" t="inlineStr">
        <is>
          <t>m250208</t>
        </is>
      </c>
      <c r="B261" s="2">
        <f>IFERROR(VLOOKUP(A261,Students!$A:$B,2,FALSE),"")</f>
        <v/>
      </c>
      <c r="C261" s="2" t="inlineStr">
        <is>
          <t>Spring 2025</t>
        </is>
      </c>
      <c r="D261" s="2" t="inlineStr">
        <is>
          <t>Semester 1</t>
        </is>
      </c>
      <c r="E261" s="2" t="inlineStr">
        <is>
          <t>HIS 101</t>
        </is>
      </c>
      <c r="F261" s="2">
        <f>IFERROR(VLOOKUP(E261,Courses!$A:$C,2,FALSE),"")</f>
        <v/>
      </c>
      <c r="G261" s="2">
        <f>IFERROR(VLOOKUP(E261,Courses!$A:$C,3,FALSE),0)</f>
        <v/>
      </c>
      <c r="H261" s="2" t="inlineStr">
        <is>
          <t>A</t>
        </is>
      </c>
      <c r="I261" s="2" t="n">
        <v>93</v>
      </c>
      <c r="J261" s="2">
        <f>IFERROR(VLOOKUP(H261,'Grade Scale'!$A:$B,2,FALSE),0)</f>
        <v/>
      </c>
      <c r="K261" s="2">
        <f>J261*G261</f>
        <v/>
      </c>
      <c r="L261" s="2">
        <f>IF(H261="F",0,G261)</f>
        <v/>
      </c>
    </row>
    <row r="262">
      <c r="A262" s="2" t="inlineStr">
        <is>
          <t>m250208</t>
        </is>
      </c>
      <c r="B262" s="2">
        <f>IFERROR(VLOOKUP(A262,Students!$A:$B,2,FALSE),"")</f>
        <v/>
      </c>
      <c r="C262" s="2" t="inlineStr">
        <is>
          <t>Fall 2025</t>
        </is>
      </c>
      <c r="D262" s="2" t="inlineStr">
        <is>
          <t>Semester 2</t>
        </is>
      </c>
      <c r="E262" s="2" t="inlineStr">
        <is>
          <t>DES 150</t>
        </is>
      </c>
      <c r="F262" s="2">
        <f>IFERROR(VLOOKUP(E262,Courses!$A:$C,2,FALSE),"")</f>
        <v/>
      </c>
      <c r="G262" s="2">
        <f>IFERROR(VLOOKUP(E262,Courses!$A:$C,3,FALSE),0)</f>
        <v/>
      </c>
      <c r="H262" s="2" t="inlineStr">
        <is>
          <t>A</t>
        </is>
      </c>
      <c r="I262" s="2" t="n">
        <v>97</v>
      </c>
      <c r="J262" s="2">
        <f>IFERROR(VLOOKUP(H262,'Grade Scale'!$A:$B,2,FALSE),0)</f>
        <v/>
      </c>
      <c r="K262" s="2">
        <f>J262*G262</f>
        <v/>
      </c>
      <c r="L262" s="2">
        <f>IF(H262="F",0,G262)</f>
        <v/>
      </c>
    </row>
    <row r="263">
      <c r="A263" s="2" t="inlineStr">
        <is>
          <t>m250208</t>
        </is>
      </c>
      <c r="B263" s="2">
        <f>IFERROR(VLOOKUP(A263,Students!$A:$B,2,FALSE),"")</f>
        <v/>
      </c>
      <c r="C263" s="2" t="inlineStr">
        <is>
          <t>Fall 2025</t>
        </is>
      </c>
      <c r="D263" s="2" t="inlineStr">
        <is>
          <t>Semester 2</t>
        </is>
      </c>
      <c r="E263" s="2" t="inlineStr">
        <is>
          <t>DES 160</t>
        </is>
      </c>
      <c r="F263" s="2">
        <f>IFERROR(VLOOKUP(E263,Courses!$A:$C,2,FALSE),"")</f>
        <v/>
      </c>
      <c r="G263" s="2">
        <f>IFERROR(VLOOKUP(E263,Courses!$A:$C,3,FALSE),0)</f>
        <v/>
      </c>
      <c r="H263" s="2" t="inlineStr">
        <is>
          <t>B+</t>
        </is>
      </c>
      <c r="I263" s="2" t="n">
        <v>87</v>
      </c>
      <c r="J263" s="2">
        <f>IFERROR(VLOOKUP(H263,'Grade Scale'!$A:$B,2,FALSE),0)</f>
        <v/>
      </c>
      <c r="K263" s="2">
        <f>J263*G263</f>
        <v/>
      </c>
      <c r="L263" s="2">
        <f>IF(H263="F",0,G263)</f>
        <v/>
      </c>
    </row>
    <row r="264">
      <c r="A264" s="2" t="inlineStr">
        <is>
          <t>m250208</t>
        </is>
      </c>
      <c r="B264" s="2">
        <f>IFERROR(VLOOKUP(A264,Students!$A:$B,2,FALSE),"")</f>
        <v/>
      </c>
      <c r="C264" s="2" t="inlineStr">
        <is>
          <t>Fall 2025</t>
        </is>
      </c>
      <c r="D264" s="2" t="inlineStr">
        <is>
          <t>Semester 2</t>
        </is>
      </c>
      <c r="E264" s="2" t="inlineStr">
        <is>
          <t>DES 170</t>
        </is>
      </c>
      <c r="F264" s="2">
        <f>IFERROR(VLOOKUP(E264,Courses!$A:$C,2,FALSE),"")</f>
        <v/>
      </c>
      <c r="G264" s="2">
        <f>IFERROR(VLOOKUP(E264,Courses!$A:$C,3,FALSE),0)</f>
        <v/>
      </c>
      <c r="H264" s="2" t="inlineStr">
        <is>
          <t>A-</t>
        </is>
      </c>
      <c r="I264" s="2" t="n">
        <v>90</v>
      </c>
      <c r="J264" s="2">
        <f>IFERROR(VLOOKUP(H264,'Grade Scale'!$A:$B,2,FALSE),0)</f>
        <v/>
      </c>
      <c r="K264" s="2">
        <f>J264*G264</f>
        <v/>
      </c>
      <c r="L264" s="2">
        <f>IF(H264="F",0,G264)</f>
        <v/>
      </c>
    </row>
    <row r="265">
      <c r="A265" s="2" t="inlineStr">
        <is>
          <t>m250208</t>
        </is>
      </c>
      <c r="B265" s="2">
        <f>IFERROR(VLOOKUP(A265,Students!$A:$B,2,FALSE),"")</f>
        <v/>
      </c>
      <c r="C265" s="2" t="inlineStr">
        <is>
          <t>Fall 2025</t>
        </is>
      </c>
      <c r="D265" s="2" t="inlineStr">
        <is>
          <t>Semester 2</t>
        </is>
      </c>
      <c r="E265" s="2" t="inlineStr">
        <is>
          <t>ENG 102</t>
        </is>
      </c>
      <c r="F265" s="2">
        <f>IFERROR(VLOOKUP(E265,Courses!$A:$C,2,FALSE),"")</f>
        <v/>
      </c>
      <c r="G265" s="2">
        <f>IFERROR(VLOOKUP(E265,Courses!$A:$C,3,FALSE),0)</f>
        <v/>
      </c>
      <c r="H265" s="2" t="inlineStr">
        <is>
          <t>B+</t>
        </is>
      </c>
      <c r="I265" s="2" t="n">
        <v>88</v>
      </c>
      <c r="J265" s="2">
        <f>IFERROR(VLOOKUP(H265,'Grade Scale'!$A:$B,2,FALSE),0)</f>
        <v/>
      </c>
      <c r="K265" s="2">
        <f>J265*G265</f>
        <v/>
      </c>
      <c r="L265" s="2">
        <f>IF(H265="F",0,G265)</f>
        <v/>
      </c>
    </row>
    <row r="266">
      <c r="A266" s="2" t="inlineStr">
        <is>
          <t>m250208</t>
        </is>
      </c>
      <c r="B266" s="2">
        <f>IFERROR(VLOOKUP(A266,Students!$A:$B,2,FALSE),"")</f>
        <v/>
      </c>
      <c r="C266" s="2" t="inlineStr">
        <is>
          <t>Fall 2025</t>
        </is>
      </c>
      <c r="D266" s="2" t="inlineStr">
        <is>
          <t>Semester 2</t>
        </is>
      </c>
      <c r="E266" s="2" t="inlineStr">
        <is>
          <t>ART 150</t>
        </is>
      </c>
      <c r="F266" s="2">
        <f>IFERROR(VLOOKUP(E266,Courses!$A:$C,2,FALSE),"")</f>
        <v/>
      </c>
      <c r="G266" s="2">
        <f>IFERROR(VLOOKUP(E266,Courses!$A:$C,3,FALSE),0)</f>
        <v/>
      </c>
      <c r="H266" s="2" t="inlineStr">
        <is>
          <t>A</t>
        </is>
      </c>
      <c r="I266" s="2" t="n">
        <v>100</v>
      </c>
      <c r="J266" s="2">
        <f>IFERROR(VLOOKUP(H266,'Grade Scale'!$A:$B,2,FALSE),0)</f>
        <v/>
      </c>
      <c r="K266" s="2">
        <f>J266*G266</f>
        <v/>
      </c>
      <c r="L266" s="2">
        <f>IF(H266="F",0,G266)</f>
        <v/>
      </c>
    </row>
    <row r="267">
      <c r="A267" s="2" t="inlineStr">
        <is>
          <t>m250208</t>
        </is>
      </c>
      <c r="B267" s="2">
        <f>IFERROR(VLOOKUP(A267,Students!$A:$B,2,FALSE),"")</f>
        <v/>
      </c>
      <c r="C267" s="2" t="inlineStr">
        <is>
          <t>Spring 2026</t>
        </is>
      </c>
      <c r="D267" s="2" t="inlineStr">
        <is>
          <t>Semester 3</t>
        </is>
      </c>
      <c r="E267" s="2" t="inlineStr">
        <is>
          <t>DES 210</t>
        </is>
      </c>
      <c r="F267" s="2">
        <f>IFERROR(VLOOKUP(E267,Courses!$A:$C,2,FALSE),"")</f>
        <v/>
      </c>
      <c r="G267" s="2">
        <f>IFERROR(VLOOKUP(E267,Courses!$A:$C,3,FALSE),0)</f>
        <v/>
      </c>
      <c r="H267" s="2" t="inlineStr">
        <is>
          <t>A</t>
        </is>
      </c>
      <c r="I267" s="2" t="n">
        <v>93</v>
      </c>
      <c r="J267" s="2">
        <f>IFERROR(VLOOKUP(H267,'Grade Scale'!$A:$B,2,FALSE),0)</f>
        <v/>
      </c>
      <c r="K267" s="2">
        <f>J267*G267</f>
        <v/>
      </c>
      <c r="L267" s="2">
        <f>IF(H267="F",0,G267)</f>
        <v/>
      </c>
    </row>
    <row r="268">
      <c r="A268" s="2" t="inlineStr">
        <is>
          <t>m250208</t>
        </is>
      </c>
      <c r="B268" s="2">
        <f>IFERROR(VLOOKUP(A268,Students!$A:$B,2,FALSE),"")</f>
        <v/>
      </c>
      <c r="C268" s="2" t="inlineStr">
        <is>
          <t>Spring 2026</t>
        </is>
      </c>
      <c r="D268" s="2" t="inlineStr">
        <is>
          <t>Semester 3</t>
        </is>
      </c>
      <c r="E268" s="2" t="inlineStr">
        <is>
          <t>DES 220</t>
        </is>
      </c>
      <c r="F268" s="2">
        <f>IFERROR(VLOOKUP(E268,Courses!$A:$C,2,FALSE),"")</f>
        <v/>
      </c>
      <c r="G268" s="2">
        <f>IFERROR(VLOOKUP(E268,Courses!$A:$C,3,FALSE),0)</f>
        <v/>
      </c>
      <c r="H268" s="2" t="inlineStr">
        <is>
          <t>A</t>
        </is>
      </c>
      <c r="I268" s="2" t="n">
        <v>96</v>
      </c>
      <c r="J268" s="2">
        <f>IFERROR(VLOOKUP(H268,'Grade Scale'!$A:$B,2,FALSE),0)</f>
        <v/>
      </c>
      <c r="K268" s="2">
        <f>J268*G268</f>
        <v/>
      </c>
      <c r="L268" s="2">
        <f>IF(H268="F",0,G268)</f>
        <v/>
      </c>
    </row>
    <row r="269">
      <c r="A269" s="2" t="inlineStr">
        <is>
          <t>m250208</t>
        </is>
      </c>
      <c r="B269" s="2">
        <f>IFERROR(VLOOKUP(A269,Students!$A:$B,2,FALSE),"")</f>
        <v/>
      </c>
      <c r="C269" s="2" t="inlineStr">
        <is>
          <t>Spring 2026</t>
        </is>
      </c>
      <c r="D269" s="2" t="inlineStr">
        <is>
          <t>Semester 3</t>
        </is>
      </c>
      <c r="E269" s="2" t="inlineStr">
        <is>
          <t>DES 230</t>
        </is>
      </c>
      <c r="F269" s="2">
        <f>IFERROR(VLOOKUP(E269,Courses!$A:$C,2,FALSE),"")</f>
        <v/>
      </c>
      <c r="G269" s="2">
        <f>IFERROR(VLOOKUP(E269,Courses!$A:$C,3,FALSE),0)</f>
        <v/>
      </c>
      <c r="H269" s="2" t="inlineStr">
        <is>
          <t>A</t>
        </is>
      </c>
      <c r="I269" s="2" t="n">
        <v>100</v>
      </c>
      <c r="J269" s="2">
        <f>IFERROR(VLOOKUP(H269,'Grade Scale'!$A:$B,2,FALSE),0)</f>
        <v/>
      </c>
      <c r="K269" s="2">
        <f>J269*G269</f>
        <v/>
      </c>
      <c r="L269" s="2">
        <f>IF(H269="F",0,G269)</f>
        <v/>
      </c>
    </row>
    <row r="270">
      <c r="A270" s="2" t="inlineStr">
        <is>
          <t>m250208</t>
        </is>
      </c>
      <c r="B270" s="2">
        <f>IFERROR(VLOOKUP(A270,Students!$A:$B,2,FALSE),"")</f>
        <v/>
      </c>
      <c r="C270" s="2" t="inlineStr">
        <is>
          <t>Spring 2026</t>
        </is>
      </c>
      <c r="D270" s="2" t="inlineStr">
        <is>
          <t>Semester 3</t>
        </is>
      </c>
      <c r="E270" s="2" t="inlineStr">
        <is>
          <t>DES 240</t>
        </is>
      </c>
      <c r="F270" s="2">
        <f>IFERROR(VLOOKUP(E270,Courses!$A:$C,2,FALSE),"")</f>
        <v/>
      </c>
      <c r="G270" s="2">
        <f>IFERROR(VLOOKUP(E270,Courses!$A:$C,3,FALSE),0)</f>
        <v/>
      </c>
      <c r="H270" s="2" t="inlineStr">
        <is>
          <t>A</t>
        </is>
      </c>
      <c r="I270" s="2" t="n">
        <v>100</v>
      </c>
      <c r="J270" s="2">
        <f>IFERROR(VLOOKUP(H270,'Grade Scale'!$A:$B,2,FALSE),0)</f>
        <v/>
      </c>
      <c r="K270" s="2">
        <f>J270*G270</f>
        <v/>
      </c>
      <c r="L270" s="2">
        <f>IF(H270="F",0,G270)</f>
        <v/>
      </c>
    </row>
    <row r="271">
      <c r="A271" s="2" t="inlineStr">
        <is>
          <t>m250208</t>
        </is>
      </c>
      <c r="B271" s="2">
        <f>IFERROR(VLOOKUP(A271,Students!$A:$B,2,FALSE),"")</f>
        <v/>
      </c>
      <c r="C271" s="2" t="inlineStr">
        <is>
          <t>Spring 2026</t>
        </is>
      </c>
      <c r="D271" s="2" t="inlineStr">
        <is>
          <t>Semester 3</t>
        </is>
      </c>
      <c r="E271" s="2" t="inlineStr">
        <is>
          <t>DES 250</t>
        </is>
      </c>
      <c r="F271" s="2">
        <f>IFERROR(VLOOKUP(E271,Courses!$A:$C,2,FALSE),"")</f>
        <v/>
      </c>
      <c r="G271" s="2">
        <f>IFERROR(VLOOKUP(E271,Courses!$A:$C,3,FALSE),0)</f>
        <v/>
      </c>
      <c r="H271" s="2" t="inlineStr">
        <is>
          <t>A</t>
        </is>
      </c>
      <c r="I271" s="2" t="n">
        <v>93</v>
      </c>
      <c r="J271" s="2">
        <f>IFERROR(VLOOKUP(H271,'Grade Scale'!$A:$B,2,FALSE),0)</f>
        <v/>
      </c>
      <c r="K271" s="2">
        <f>J271*G271</f>
        <v/>
      </c>
      <c r="L271" s="2">
        <f>IF(H271="F",0,G271)</f>
        <v/>
      </c>
    </row>
    <row r="272">
      <c r="A272" s="2" t="inlineStr">
        <is>
          <t>m250209</t>
        </is>
      </c>
      <c r="B272" s="2">
        <f>IFERROR(VLOOKUP(A272,Students!$A:$B,2,FALSE),"")</f>
        <v/>
      </c>
      <c r="C272" s="2" t="inlineStr">
        <is>
          <t>Spring 2025</t>
        </is>
      </c>
      <c r="D272" s="2" t="inlineStr">
        <is>
          <t>Semester 1</t>
        </is>
      </c>
      <c r="E272" s="2" t="inlineStr">
        <is>
          <t>ECO 101</t>
        </is>
      </c>
      <c r="F272" s="2">
        <f>IFERROR(VLOOKUP(E272,Courses!$A:$C,2,FALSE),"")</f>
        <v/>
      </c>
      <c r="G272" s="2">
        <f>IFERROR(VLOOKUP(E272,Courses!$A:$C,3,FALSE),0)</f>
        <v/>
      </c>
      <c r="H272" s="2" t="inlineStr">
        <is>
          <t>C</t>
        </is>
      </c>
      <c r="I272" s="2" t="n">
        <v>75</v>
      </c>
      <c r="J272" s="2">
        <f>IFERROR(VLOOKUP(H272,'Grade Scale'!$A:$B,2,FALSE),0)</f>
        <v/>
      </c>
      <c r="K272" s="2">
        <f>J272*G272</f>
        <v/>
      </c>
      <c r="L272" s="2">
        <f>IF(H272="F",0,G272)</f>
        <v/>
      </c>
    </row>
    <row r="273">
      <c r="A273" s="2" t="inlineStr">
        <is>
          <t>m250209</t>
        </is>
      </c>
      <c r="B273" s="2">
        <f>IFERROR(VLOOKUP(A273,Students!$A:$B,2,FALSE),"")</f>
        <v/>
      </c>
      <c r="C273" s="2" t="inlineStr">
        <is>
          <t>Spring 2025</t>
        </is>
      </c>
      <c r="D273" s="2" t="inlineStr">
        <is>
          <t>Semester 1</t>
        </is>
      </c>
      <c r="E273" s="2" t="inlineStr">
        <is>
          <t>ACC 101</t>
        </is>
      </c>
      <c r="F273" s="2">
        <f>IFERROR(VLOOKUP(E273,Courses!$A:$C,2,FALSE),"")</f>
        <v/>
      </c>
      <c r="G273" s="2">
        <f>IFERROR(VLOOKUP(E273,Courses!$A:$C,3,FALSE),0)</f>
        <v/>
      </c>
      <c r="H273" s="2" t="inlineStr">
        <is>
          <t>D+</t>
        </is>
      </c>
      <c r="I273" s="2" t="n">
        <v>69</v>
      </c>
      <c r="J273" s="2">
        <f>IFERROR(VLOOKUP(H273,'Grade Scale'!$A:$B,2,FALSE),0)</f>
        <v/>
      </c>
      <c r="K273" s="2">
        <f>J273*G273</f>
        <v/>
      </c>
      <c r="L273" s="2">
        <f>IF(H273="F",0,G273)</f>
        <v/>
      </c>
    </row>
    <row r="274">
      <c r="A274" s="2" t="inlineStr">
        <is>
          <t>m250209</t>
        </is>
      </c>
      <c r="B274" s="2">
        <f>IFERROR(VLOOKUP(A274,Students!$A:$B,2,FALSE),"")</f>
        <v/>
      </c>
      <c r="C274" s="2" t="inlineStr">
        <is>
          <t>Spring 2025</t>
        </is>
      </c>
      <c r="D274" s="2" t="inlineStr">
        <is>
          <t>Semester 1</t>
        </is>
      </c>
      <c r="E274" s="2" t="inlineStr">
        <is>
          <t>MTH 105</t>
        </is>
      </c>
      <c r="F274" s="2">
        <f>IFERROR(VLOOKUP(E274,Courses!$A:$C,2,FALSE),"")</f>
        <v/>
      </c>
      <c r="G274" s="2">
        <f>IFERROR(VLOOKUP(E274,Courses!$A:$C,3,FALSE),0)</f>
        <v/>
      </c>
      <c r="H274" s="2" t="inlineStr">
        <is>
          <t>C</t>
        </is>
      </c>
      <c r="I274" s="2" t="n">
        <v>74</v>
      </c>
      <c r="J274" s="2">
        <f>IFERROR(VLOOKUP(H274,'Grade Scale'!$A:$B,2,FALSE),0)</f>
        <v/>
      </c>
      <c r="K274" s="2">
        <f>J274*G274</f>
        <v/>
      </c>
      <c r="L274" s="2">
        <f>IF(H274="F",0,G274)</f>
        <v/>
      </c>
    </row>
    <row r="275">
      <c r="A275" s="2" t="inlineStr">
        <is>
          <t>m250209</t>
        </is>
      </c>
      <c r="B275" s="2">
        <f>IFERROR(VLOOKUP(A275,Students!$A:$B,2,FALSE),"")</f>
        <v/>
      </c>
      <c r="C275" s="2" t="inlineStr">
        <is>
          <t>Spring 2025</t>
        </is>
      </c>
      <c r="D275" s="2" t="inlineStr">
        <is>
          <t>Semester 1</t>
        </is>
      </c>
      <c r="E275" s="2" t="inlineStr">
        <is>
          <t>ENG 101</t>
        </is>
      </c>
      <c r="F275" s="2">
        <f>IFERROR(VLOOKUP(E275,Courses!$A:$C,2,FALSE),"")</f>
        <v/>
      </c>
      <c r="G275" s="2">
        <f>IFERROR(VLOOKUP(E275,Courses!$A:$C,3,FALSE),0)</f>
        <v/>
      </c>
      <c r="H275" s="2" t="inlineStr">
        <is>
          <t>D+</t>
        </is>
      </c>
      <c r="I275" s="2" t="n">
        <v>68</v>
      </c>
      <c r="J275" s="2">
        <f>IFERROR(VLOOKUP(H275,'Grade Scale'!$A:$B,2,FALSE),0)</f>
        <v/>
      </c>
      <c r="K275" s="2">
        <f>J275*G275</f>
        <v/>
      </c>
      <c r="L275" s="2">
        <f>IF(H275="F",0,G275)</f>
        <v/>
      </c>
    </row>
    <row r="276">
      <c r="A276" s="2" t="inlineStr">
        <is>
          <t>m250209</t>
        </is>
      </c>
      <c r="B276" s="2">
        <f>IFERROR(VLOOKUP(A276,Students!$A:$B,2,FALSE),"")</f>
        <v/>
      </c>
      <c r="C276" s="2" t="inlineStr">
        <is>
          <t>Spring 2025</t>
        </is>
      </c>
      <c r="D276" s="2" t="inlineStr">
        <is>
          <t>Semester 1</t>
        </is>
      </c>
      <c r="E276" s="2" t="inlineStr">
        <is>
          <t>FIN 100</t>
        </is>
      </c>
      <c r="F276" s="2">
        <f>IFERROR(VLOOKUP(E276,Courses!$A:$C,2,FALSE),"")</f>
        <v/>
      </c>
      <c r="G276" s="2">
        <f>IFERROR(VLOOKUP(E276,Courses!$A:$C,3,FALSE),0)</f>
        <v/>
      </c>
      <c r="H276" s="2" t="inlineStr">
        <is>
          <t>D+</t>
        </is>
      </c>
      <c r="I276" s="2" t="n">
        <v>69</v>
      </c>
      <c r="J276" s="2">
        <f>IFERROR(VLOOKUP(H276,'Grade Scale'!$A:$B,2,FALSE),0)</f>
        <v/>
      </c>
      <c r="K276" s="2">
        <f>J276*G276</f>
        <v/>
      </c>
      <c r="L276" s="2">
        <f>IF(H276="F",0,G276)</f>
        <v/>
      </c>
    </row>
    <row r="277">
      <c r="A277" s="2" t="inlineStr">
        <is>
          <t>m250209</t>
        </is>
      </c>
      <c r="B277" s="2">
        <f>IFERROR(VLOOKUP(A277,Students!$A:$B,2,FALSE),"")</f>
        <v/>
      </c>
      <c r="C277" s="2" t="inlineStr">
        <is>
          <t>Fall 2025</t>
        </is>
      </c>
      <c r="D277" s="2" t="inlineStr">
        <is>
          <t>Semester 2</t>
        </is>
      </c>
      <c r="E277" s="2" t="inlineStr">
        <is>
          <t>ECO 102</t>
        </is>
      </c>
      <c r="F277" s="2">
        <f>IFERROR(VLOOKUP(E277,Courses!$A:$C,2,FALSE),"")</f>
        <v/>
      </c>
      <c r="G277" s="2">
        <f>IFERROR(VLOOKUP(E277,Courses!$A:$C,3,FALSE),0)</f>
        <v/>
      </c>
      <c r="H277" s="2" t="inlineStr">
        <is>
          <t>B+</t>
        </is>
      </c>
      <c r="I277" s="2" t="n">
        <v>89</v>
      </c>
      <c r="J277" s="2">
        <f>IFERROR(VLOOKUP(H277,'Grade Scale'!$A:$B,2,FALSE),0)</f>
        <v/>
      </c>
      <c r="K277" s="2">
        <f>J277*G277</f>
        <v/>
      </c>
      <c r="L277" s="2">
        <f>IF(H277="F",0,G277)</f>
        <v/>
      </c>
    </row>
    <row r="278">
      <c r="A278" s="2" t="inlineStr">
        <is>
          <t>m250209</t>
        </is>
      </c>
      <c r="B278" s="2">
        <f>IFERROR(VLOOKUP(A278,Students!$A:$B,2,FALSE),"")</f>
        <v/>
      </c>
      <c r="C278" s="2" t="inlineStr">
        <is>
          <t>Fall 2025</t>
        </is>
      </c>
      <c r="D278" s="2" t="inlineStr">
        <is>
          <t>Semester 2</t>
        </is>
      </c>
      <c r="E278" s="2" t="inlineStr">
        <is>
          <t>ACC 102</t>
        </is>
      </c>
      <c r="F278" s="2">
        <f>IFERROR(VLOOKUP(E278,Courses!$A:$C,2,FALSE),"")</f>
        <v/>
      </c>
      <c r="G278" s="2">
        <f>IFERROR(VLOOKUP(E278,Courses!$A:$C,3,FALSE),0)</f>
        <v/>
      </c>
      <c r="H278" s="2" t="inlineStr">
        <is>
          <t>C</t>
        </is>
      </c>
      <c r="I278" s="2" t="n">
        <v>74</v>
      </c>
      <c r="J278" s="2">
        <f>IFERROR(VLOOKUP(H278,'Grade Scale'!$A:$B,2,FALSE),0)</f>
        <v/>
      </c>
      <c r="K278" s="2">
        <f>J278*G278</f>
        <v/>
      </c>
      <c r="L278" s="2">
        <f>IF(H278="F",0,G278)</f>
        <v/>
      </c>
    </row>
    <row r="279">
      <c r="A279" s="2" t="inlineStr">
        <is>
          <t>m250209</t>
        </is>
      </c>
      <c r="B279" s="2">
        <f>IFERROR(VLOOKUP(A279,Students!$A:$B,2,FALSE),"")</f>
        <v/>
      </c>
      <c r="C279" s="2" t="inlineStr">
        <is>
          <t>Fall 2025</t>
        </is>
      </c>
      <c r="D279" s="2" t="inlineStr">
        <is>
          <t>Semester 2</t>
        </is>
      </c>
      <c r="E279" s="2" t="inlineStr">
        <is>
          <t>STA 110</t>
        </is>
      </c>
      <c r="F279" s="2">
        <f>IFERROR(VLOOKUP(E279,Courses!$A:$C,2,FALSE),"")</f>
        <v/>
      </c>
      <c r="G279" s="2">
        <f>IFERROR(VLOOKUP(E279,Courses!$A:$C,3,FALSE),0)</f>
        <v/>
      </c>
      <c r="H279" s="2" t="inlineStr">
        <is>
          <t>B+</t>
        </is>
      </c>
      <c r="I279" s="2" t="n">
        <v>88</v>
      </c>
      <c r="J279" s="2">
        <f>IFERROR(VLOOKUP(H279,'Grade Scale'!$A:$B,2,FALSE),0)</f>
        <v/>
      </c>
      <c r="K279" s="2">
        <f>J279*G279</f>
        <v/>
      </c>
      <c r="L279" s="2">
        <f>IF(H279="F",0,G279)</f>
        <v/>
      </c>
    </row>
    <row r="280">
      <c r="A280" s="2" t="inlineStr">
        <is>
          <t>m250209</t>
        </is>
      </c>
      <c r="B280" s="2">
        <f>IFERROR(VLOOKUP(A280,Students!$A:$B,2,FALSE),"")</f>
        <v/>
      </c>
      <c r="C280" s="2" t="inlineStr">
        <is>
          <t>Fall 2025</t>
        </is>
      </c>
      <c r="D280" s="2" t="inlineStr">
        <is>
          <t>Semester 2</t>
        </is>
      </c>
      <c r="E280" s="2" t="inlineStr">
        <is>
          <t>ENG 102</t>
        </is>
      </c>
      <c r="F280" s="2">
        <f>IFERROR(VLOOKUP(E280,Courses!$A:$C,2,FALSE),"")</f>
        <v/>
      </c>
      <c r="G280" s="2">
        <f>IFERROR(VLOOKUP(E280,Courses!$A:$C,3,FALSE),0)</f>
        <v/>
      </c>
      <c r="H280" s="2" t="inlineStr">
        <is>
          <t>C+</t>
        </is>
      </c>
      <c r="I280" s="2" t="n">
        <v>79</v>
      </c>
      <c r="J280" s="2">
        <f>IFERROR(VLOOKUP(H280,'Grade Scale'!$A:$B,2,FALSE),0)</f>
        <v/>
      </c>
      <c r="K280" s="2">
        <f>J280*G280</f>
        <v/>
      </c>
      <c r="L280" s="2">
        <f>IF(H280="F",0,G280)</f>
        <v/>
      </c>
    </row>
    <row r="281">
      <c r="A281" s="2" t="inlineStr">
        <is>
          <t>m250209</t>
        </is>
      </c>
      <c r="B281" s="2">
        <f>IFERROR(VLOOKUP(A281,Students!$A:$B,2,FALSE),"")</f>
        <v/>
      </c>
      <c r="C281" s="2" t="inlineStr">
        <is>
          <t>Fall 2025</t>
        </is>
      </c>
      <c r="D281" s="2" t="inlineStr">
        <is>
          <t>Semester 2</t>
        </is>
      </c>
      <c r="E281" s="2" t="inlineStr">
        <is>
          <t>FIN 150</t>
        </is>
      </c>
      <c r="F281" s="2">
        <f>IFERROR(VLOOKUP(E281,Courses!$A:$C,2,FALSE),"")</f>
        <v/>
      </c>
      <c r="G281" s="2">
        <f>IFERROR(VLOOKUP(E281,Courses!$A:$C,3,FALSE),0)</f>
        <v/>
      </c>
      <c r="H281" s="2" t="inlineStr">
        <is>
          <t>B-</t>
        </is>
      </c>
      <c r="I281" s="2" t="n">
        <v>81</v>
      </c>
      <c r="J281" s="2">
        <f>IFERROR(VLOOKUP(H281,'Grade Scale'!$A:$B,2,FALSE),0)</f>
        <v/>
      </c>
      <c r="K281" s="2">
        <f>J281*G281</f>
        <v/>
      </c>
      <c r="L281" s="2">
        <f>IF(H281="F",0,G281)</f>
        <v/>
      </c>
    </row>
    <row r="282">
      <c r="A282" s="2" t="inlineStr">
        <is>
          <t>m250209</t>
        </is>
      </c>
      <c r="B282" s="2">
        <f>IFERROR(VLOOKUP(A282,Students!$A:$B,2,FALSE),"")</f>
        <v/>
      </c>
      <c r="C282" s="2" t="inlineStr">
        <is>
          <t>Spring 2026</t>
        </is>
      </c>
      <c r="D282" s="2" t="inlineStr">
        <is>
          <t>Semester 3</t>
        </is>
      </c>
      <c r="E282" s="2" t="inlineStr">
        <is>
          <t>FIN 210</t>
        </is>
      </c>
      <c r="F282" s="2">
        <f>IFERROR(VLOOKUP(E282,Courses!$A:$C,2,FALSE),"")</f>
        <v/>
      </c>
      <c r="G282" s="2">
        <f>IFERROR(VLOOKUP(E282,Courses!$A:$C,3,FALSE),0)</f>
        <v/>
      </c>
      <c r="H282" s="2" t="inlineStr">
        <is>
          <t>C+</t>
        </is>
      </c>
      <c r="I282" s="2" t="n">
        <v>78</v>
      </c>
      <c r="J282" s="2">
        <f>IFERROR(VLOOKUP(H282,'Grade Scale'!$A:$B,2,FALSE),0)</f>
        <v/>
      </c>
      <c r="K282" s="2">
        <f>J282*G282</f>
        <v/>
      </c>
      <c r="L282" s="2">
        <f>IF(H282="F",0,G282)</f>
        <v/>
      </c>
    </row>
    <row r="283">
      <c r="A283" s="2" t="inlineStr">
        <is>
          <t>m250209</t>
        </is>
      </c>
      <c r="B283" s="2">
        <f>IFERROR(VLOOKUP(A283,Students!$A:$B,2,FALSE),"")</f>
        <v/>
      </c>
      <c r="C283" s="2" t="inlineStr">
        <is>
          <t>Spring 2026</t>
        </is>
      </c>
      <c r="D283" s="2" t="inlineStr">
        <is>
          <t>Semester 3</t>
        </is>
      </c>
      <c r="E283" s="2" t="inlineStr">
        <is>
          <t>FIN 220</t>
        </is>
      </c>
      <c r="F283" s="2">
        <f>IFERROR(VLOOKUP(E283,Courses!$A:$C,2,FALSE),"")</f>
        <v/>
      </c>
      <c r="G283" s="2">
        <f>IFERROR(VLOOKUP(E283,Courses!$A:$C,3,FALSE),0)</f>
        <v/>
      </c>
      <c r="H283" s="2" t="inlineStr">
        <is>
          <t>C</t>
        </is>
      </c>
      <c r="I283" s="2" t="n">
        <v>75</v>
      </c>
      <c r="J283" s="2">
        <f>IFERROR(VLOOKUP(H283,'Grade Scale'!$A:$B,2,FALSE),0)</f>
        <v/>
      </c>
      <c r="K283" s="2">
        <f>J283*G283</f>
        <v/>
      </c>
      <c r="L283" s="2">
        <f>IF(H283="F",0,G283)</f>
        <v/>
      </c>
    </row>
    <row r="284">
      <c r="A284" s="2" t="inlineStr">
        <is>
          <t>m250209</t>
        </is>
      </c>
      <c r="B284" s="2">
        <f>IFERROR(VLOOKUP(A284,Students!$A:$B,2,FALSE),"")</f>
        <v/>
      </c>
      <c r="C284" s="2" t="inlineStr">
        <is>
          <t>Spring 2026</t>
        </is>
      </c>
      <c r="D284" s="2" t="inlineStr">
        <is>
          <t>Semester 3</t>
        </is>
      </c>
      <c r="E284" s="2" t="inlineStr">
        <is>
          <t>FIN 230</t>
        </is>
      </c>
      <c r="F284" s="2">
        <f>IFERROR(VLOOKUP(E284,Courses!$A:$C,2,FALSE),"")</f>
        <v/>
      </c>
      <c r="G284" s="2">
        <f>IFERROR(VLOOKUP(E284,Courses!$A:$C,3,FALSE),0)</f>
        <v/>
      </c>
      <c r="H284" s="2" t="inlineStr">
        <is>
          <t>A-</t>
        </is>
      </c>
      <c r="I284" s="2" t="n">
        <v>90</v>
      </c>
      <c r="J284" s="2">
        <f>IFERROR(VLOOKUP(H284,'Grade Scale'!$A:$B,2,FALSE),0)</f>
        <v/>
      </c>
      <c r="K284" s="2">
        <f>J284*G284</f>
        <v/>
      </c>
      <c r="L284" s="2">
        <f>IF(H284="F",0,G284)</f>
        <v/>
      </c>
    </row>
    <row r="285">
      <c r="A285" s="2" t="inlineStr">
        <is>
          <t>m250209</t>
        </is>
      </c>
      <c r="B285" s="2">
        <f>IFERROR(VLOOKUP(A285,Students!$A:$B,2,FALSE),"")</f>
        <v/>
      </c>
      <c r="C285" s="2" t="inlineStr">
        <is>
          <t>Spring 2026</t>
        </is>
      </c>
      <c r="D285" s="2" t="inlineStr">
        <is>
          <t>Semester 3</t>
        </is>
      </c>
      <c r="E285" s="2" t="inlineStr">
        <is>
          <t>ECO 210</t>
        </is>
      </c>
      <c r="F285" s="2">
        <f>IFERROR(VLOOKUP(E285,Courses!$A:$C,2,FALSE),"")</f>
        <v/>
      </c>
      <c r="G285" s="2">
        <f>IFERROR(VLOOKUP(E285,Courses!$A:$C,3,FALSE),0)</f>
        <v/>
      </c>
      <c r="H285" s="2" t="inlineStr">
        <is>
          <t>C+</t>
        </is>
      </c>
      <c r="I285" s="2" t="n">
        <v>77</v>
      </c>
      <c r="J285" s="2">
        <f>IFERROR(VLOOKUP(H285,'Grade Scale'!$A:$B,2,FALSE),0)</f>
        <v/>
      </c>
      <c r="K285" s="2">
        <f>J285*G285</f>
        <v/>
      </c>
      <c r="L285" s="2">
        <f>IF(H285="F",0,G285)</f>
        <v/>
      </c>
    </row>
    <row r="286">
      <c r="A286" s="2" t="inlineStr">
        <is>
          <t>m250209</t>
        </is>
      </c>
      <c r="B286" s="2">
        <f>IFERROR(VLOOKUP(A286,Students!$A:$B,2,FALSE),"")</f>
        <v/>
      </c>
      <c r="C286" s="2" t="inlineStr">
        <is>
          <t>Spring 2026</t>
        </is>
      </c>
      <c r="D286" s="2" t="inlineStr">
        <is>
          <t>Semester 3</t>
        </is>
      </c>
      <c r="E286" s="2" t="inlineStr">
        <is>
          <t>LAW 201</t>
        </is>
      </c>
      <c r="F286" s="2">
        <f>IFERROR(VLOOKUP(E286,Courses!$A:$C,2,FALSE),"")</f>
        <v/>
      </c>
      <c r="G286" s="2">
        <f>IFERROR(VLOOKUP(E286,Courses!$A:$C,3,FALSE),0)</f>
        <v/>
      </c>
      <c r="H286" s="2" t="inlineStr">
        <is>
          <t>B+</t>
        </is>
      </c>
      <c r="I286" s="2" t="n">
        <v>87</v>
      </c>
      <c r="J286" s="2">
        <f>IFERROR(VLOOKUP(H286,'Grade Scale'!$A:$B,2,FALSE),0)</f>
        <v/>
      </c>
      <c r="K286" s="2">
        <f>J286*G286</f>
        <v/>
      </c>
      <c r="L286" s="2">
        <f>IF(H286="F",0,G286)</f>
        <v/>
      </c>
    </row>
    <row r="287">
      <c r="A287" s="2" t="inlineStr">
        <is>
          <t>m250210</t>
        </is>
      </c>
      <c r="B287" s="2">
        <f>IFERROR(VLOOKUP(A287,Students!$A:$B,2,FALSE),"")</f>
        <v/>
      </c>
      <c r="C287" s="2" t="inlineStr">
        <is>
          <t>Spring 2025</t>
        </is>
      </c>
      <c r="D287" s="2" t="inlineStr">
        <is>
          <t>Semester 1</t>
        </is>
      </c>
      <c r="E287" s="2" t="inlineStr">
        <is>
          <t>IRL 501</t>
        </is>
      </c>
      <c r="F287" s="2">
        <f>IFERROR(VLOOKUP(E287,Courses!$A:$C,2,FALSE),"")</f>
        <v/>
      </c>
      <c r="G287" s="2">
        <f>IFERROR(VLOOKUP(E287,Courses!$A:$C,3,FALSE),0)</f>
        <v/>
      </c>
      <c r="H287" s="2" t="inlineStr">
        <is>
          <t>A</t>
        </is>
      </c>
      <c r="I287" s="2" t="n">
        <v>97</v>
      </c>
      <c r="J287" s="2">
        <f>IFERROR(VLOOKUP(H287,'Grade Scale'!$A:$B,2,FALSE),0)</f>
        <v/>
      </c>
      <c r="K287" s="2">
        <f>J287*G287</f>
        <v/>
      </c>
      <c r="L287" s="2">
        <f>IF(H287="F",0,G287)</f>
        <v/>
      </c>
    </row>
    <row r="288">
      <c r="A288" s="2" t="inlineStr">
        <is>
          <t>m250210</t>
        </is>
      </c>
      <c r="B288" s="2">
        <f>IFERROR(VLOOKUP(A288,Students!$A:$B,2,FALSE),"")</f>
        <v/>
      </c>
      <c r="C288" s="2" t="inlineStr">
        <is>
          <t>Spring 2025</t>
        </is>
      </c>
      <c r="D288" s="2" t="inlineStr">
        <is>
          <t>Semester 1</t>
        </is>
      </c>
      <c r="E288" s="2" t="inlineStr">
        <is>
          <t>IRL 510</t>
        </is>
      </c>
      <c r="F288" s="2">
        <f>IFERROR(VLOOKUP(E288,Courses!$A:$C,2,FALSE),"")</f>
        <v/>
      </c>
      <c r="G288" s="2">
        <f>IFERROR(VLOOKUP(E288,Courses!$A:$C,3,FALSE),0)</f>
        <v/>
      </c>
      <c r="H288" s="2" t="inlineStr">
        <is>
          <t>B</t>
        </is>
      </c>
      <c r="I288" s="2" t="n">
        <v>85</v>
      </c>
      <c r="J288" s="2">
        <f>IFERROR(VLOOKUP(H288,'Grade Scale'!$A:$B,2,FALSE),0)</f>
        <v/>
      </c>
      <c r="K288" s="2">
        <f>J288*G288</f>
        <v/>
      </c>
      <c r="L288" s="2">
        <f>IF(H288="F",0,G288)</f>
        <v/>
      </c>
    </row>
    <row r="289">
      <c r="A289" s="2" t="inlineStr">
        <is>
          <t>m250210</t>
        </is>
      </c>
      <c r="B289" s="2">
        <f>IFERROR(VLOOKUP(A289,Students!$A:$B,2,FALSE),"")</f>
        <v/>
      </c>
      <c r="C289" s="2" t="inlineStr">
        <is>
          <t>Spring 2025</t>
        </is>
      </c>
      <c r="D289" s="2" t="inlineStr">
        <is>
          <t>Semester 1</t>
        </is>
      </c>
      <c r="E289" s="2" t="inlineStr">
        <is>
          <t>IRL 520</t>
        </is>
      </c>
      <c r="F289" s="2">
        <f>IFERROR(VLOOKUP(E289,Courses!$A:$C,2,FALSE),"")</f>
        <v/>
      </c>
      <c r="G289" s="2">
        <f>IFERROR(VLOOKUP(E289,Courses!$A:$C,3,FALSE),0)</f>
        <v/>
      </c>
      <c r="H289" s="2" t="inlineStr">
        <is>
          <t>A</t>
        </is>
      </c>
      <c r="I289" s="2" t="n">
        <v>100</v>
      </c>
      <c r="J289" s="2">
        <f>IFERROR(VLOOKUP(H289,'Grade Scale'!$A:$B,2,FALSE),0)</f>
        <v/>
      </c>
      <c r="K289" s="2">
        <f>J289*G289</f>
        <v/>
      </c>
      <c r="L289" s="2">
        <f>IF(H289="F",0,G289)</f>
        <v/>
      </c>
    </row>
    <row r="290">
      <c r="A290" s="2" t="inlineStr">
        <is>
          <t>m250210</t>
        </is>
      </c>
      <c r="B290" s="2">
        <f>IFERROR(VLOOKUP(A290,Students!$A:$B,2,FALSE),"")</f>
        <v/>
      </c>
      <c r="C290" s="2" t="inlineStr">
        <is>
          <t>Spring 2025</t>
        </is>
      </c>
      <c r="D290" s="2" t="inlineStr">
        <is>
          <t>Semester 1</t>
        </is>
      </c>
      <c r="E290" s="2" t="inlineStr">
        <is>
          <t>IRL 530</t>
        </is>
      </c>
      <c r="F290" s="2">
        <f>IFERROR(VLOOKUP(E290,Courses!$A:$C,2,FALSE),"")</f>
        <v/>
      </c>
      <c r="G290" s="2">
        <f>IFERROR(VLOOKUP(E290,Courses!$A:$C,3,FALSE),0)</f>
        <v/>
      </c>
      <c r="H290" s="2" t="inlineStr">
        <is>
          <t>B</t>
        </is>
      </c>
      <c r="I290" s="2" t="n">
        <v>85</v>
      </c>
      <c r="J290" s="2">
        <f>IFERROR(VLOOKUP(H290,'Grade Scale'!$A:$B,2,FALSE),0)</f>
        <v/>
      </c>
      <c r="K290" s="2">
        <f>J290*G290</f>
        <v/>
      </c>
      <c r="L290" s="2">
        <f>IF(H290="F",0,G290)</f>
        <v/>
      </c>
    </row>
    <row r="291">
      <c r="A291" s="2" t="inlineStr">
        <is>
          <t>m250210</t>
        </is>
      </c>
      <c r="B291" s="2">
        <f>IFERROR(VLOOKUP(A291,Students!$A:$B,2,FALSE),"")</f>
        <v/>
      </c>
      <c r="C291" s="2" t="inlineStr">
        <is>
          <t>Spring 2025</t>
        </is>
      </c>
      <c r="D291" s="2" t="inlineStr">
        <is>
          <t>Semester 1</t>
        </is>
      </c>
      <c r="E291" s="2" t="inlineStr">
        <is>
          <t>IRL 540</t>
        </is>
      </c>
      <c r="F291" s="2">
        <f>IFERROR(VLOOKUP(E291,Courses!$A:$C,2,FALSE),"")</f>
        <v/>
      </c>
      <c r="G291" s="2">
        <f>IFERROR(VLOOKUP(E291,Courses!$A:$C,3,FALSE),0)</f>
        <v/>
      </c>
      <c r="H291" s="2" t="inlineStr">
        <is>
          <t>B+</t>
        </is>
      </c>
      <c r="I291" s="2" t="n">
        <v>89</v>
      </c>
      <c r="J291" s="2">
        <f>IFERROR(VLOOKUP(H291,'Grade Scale'!$A:$B,2,FALSE),0)</f>
        <v/>
      </c>
      <c r="K291" s="2">
        <f>J291*G291</f>
        <v/>
      </c>
      <c r="L291" s="2">
        <f>IF(H291="F",0,G291)</f>
        <v/>
      </c>
    </row>
    <row r="292">
      <c r="A292" s="2" t="inlineStr">
        <is>
          <t>m250210</t>
        </is>
      </c>
      <c r="B292" s="2">
        <f>IFERROR(VLOOKUP(A292,Students!$A:$B,2,FALSE),"")</f>
        <v/>
      </c>
      <c r="C292" s="2" t="inlineStr">
        <is>
          <t>Fall 2025</t>
        </is>
      </c>
      <c r="D292" s="2" t="inlineStr">
        <is>
          <t>Semester 2</t>
        </is>
      </c>
      <c r="E292" s="2" t="inlineStr">
        <is>
          <t>IRL 550</t>
        </is>
      </c>
      <c r="F292" s="2">
        <f>IFERROR(VLOOKUP(E292,Courses!$A:$C,2,FALSE),"")</f>
        <v/>
      </c>
      <c r="G292" s="2">
        <f>IFERROR(VLOOKUP(E292,Courses!$A:$C,3,FALSE),0)</f>
        <v/>
      </c>
      <c r="H292" s="2" t="inlineStr">
        <is>
          <t>B-</t>
        </is>
      </c>
      <c r="I292" s="2" t="n">
        <v>81</v>
      </c>
      <c r="J292" s="2">
        <f>IFERROR(VLOOKUP(H292,'Grade Scale'!$A:$B,2,FALSE),0)</f>
        <v/>
      </c>
      <c r="K292" s="2">
        <f>J292*G292</f>
        <v/>
      </c>
      <c r="L292" s="2">
        <f>IF(H292="F",0,G292)</f>
        <v/>
      </c>
    </row>
    <row r="293">
      <c r="A293" s="2" t="inlineStr">
        <is>
          <t>m250210</t>
        </is>
      </c>
      <c r="B293" s="2">
        <f>IFERROR(VLOOKUP(A293,Students!$A:$B,2,FALSE),"")</f>
        <v/>
      </c>
      <c r="C293" s="2" t="inlineStr">
        <is>
          <t>Fall 2025</t>
        </is>
      </c>
      <c r="D293" s="2" t="inlineStr">
        <is>
          <t>Semester 2</t>
        </is>
      </c>
      <c r="E293" s="2" t="inlineStr">
        <is>
          <t>IRL 560</t>
        </is>
      </c>
      <c r="F293" s="2">
        <f>IFERROR(VLOOKUP(E293,Courses!$A:$C,2,FALSE),"")</f>
        <v/>
      </c>
      <c r="G293" s="2">
        <f>IFERROR(VLOOKUP(E293,Courses!$A:$C,3,FALSE),0)</f>
        <v/>
      </c>
      <c r="H293" s="2" t="inlineStr">
        <is>
          <t>B</t>
        </is>
      </c>
      <c r="I293" s="2" t="n">
        <v>86</v>
      </c>
      <c r="J293" s="2">
        <f>IFERROR(VLOOKUP(H293,'Grade Scale'!$A:$B,2,FALSE),0)</f>
        <v/>
      </c>
      <c r="K293" s="2">
        <f>J293*G293</f>
        <v/>
      </c>
      <c r="L293" s="2">
        <f>IF(H293="F",0,G293)</f>
        <v/>
      </c>
    </row>
    <row r="294">
      <c r="A294" s="2" t="inlineStr">
        <is>
          <t>m250210</t>
        </is>
      </c>
      <c r="B294" s="2">
        <f>IFERROR(VLOOKUP(A294,Students!$A:$B,2,FALSE),"")</f>
        <v/>
      </c>
      <c r="C294" s="2" t="inlineStr">
        <is>
          <t>Fall 2025</t>
        </is>
      </c>
      <c r="D294" s="2" t="inlineStr">
        <is>
          <t>Semester 2</t>
        </is>
      </c>
      <c r="E294" s="2" t="inlineStr">
        <is>
          <t>IRL 570</t>
        </is>
      </c>
      <c r="F294" s="2">
        <f>IFERROR(VLOOKUP(E294,Courses!$A:$C,2,FALSE),"")</f>
        <v/>
      </c>
      <c r="G294" s="2">
        <f>IFERROR(VLOOKUP(E294,Courses!$A:$C,3,FALSE),0)</f>
        <v/>
      </c>
      <c r="H294" s="2" t="inlineStr">
        <is>
          <t>A</t>
        </is>
      </c>
      <c r="I294" s="2" t="n">
        <v>96</v>
      </c>
      <c r="J294" s="2">
        <f>IFERROR(VLOOKUP(H294,'Grade Scale'!$A:$B,2,FALSE),0)</f>
        <v/>
      </c>
      <c r="K294" s="2">
        <f>J294*G294</f>
        <v/>
      </c>
      <c r="L294" s="2">
        <f>IF(H294="F",0,G294)</f>
        <v/>
      </c>
    </row>
    <row r="295">
      <c r="A295" s="2" t="inlineStr">
        <is>
          <t>m250210</t>
        </is>
      </c>
      <c r="B295" s="2">
        <f>IFERROR(VLOOKUP(A295,Students!$A:$B,2,FALSE),"")</f>
        <v/>
      </c>
      <c r="C295" s="2" t="inlineStr">
        <is>
          <t>Fall 2025</t>
        </is>
      </c>
      <c r="D295" s="2" t="inlineStr">
        <is>
          <t>Semester 2</t>
        </is>
      </c>
      <c r="E295" s="2" t="inlineStr">
        <is>
          <t>IRL 580</t>
        </is>
      </c>
      <c r="F295" s="2">
        <f>IFERROR(VLOOKUP(E295,Courses!$A:$C,2,FALSE),"")</f>
        <v/>
      </c>
      <c r="G295" s="2">
        <f>IFERROR(VLOOKUP(E295,Courses!$A:$C,3,FALSE),0)</f>
        <v/>
      </c>
      <c r="H295" s="2" t="inlineStr">
        <is>
          <t>A</t>
        </is>
      </c>
      <c r="I295" s="2" t="n">
        <v>95</v>
      </c>
      <c r="J295" s="2">
        <f>IFERROR(VLOOKUP(H295,'Grade Scale'!$A:$B,2,FALSE),0)</f>
        <v/>
      </c>
      <c r="K295" s="2">
        <f>J295*G295</f>
        <v/>
      </c>
      <c r="L295" s="2">
        <f>IF(H295="F",0,G295)</f>
        <v/>
      </c>
    </row>
    <row r="296">
      <c r="A296" s="2" t="inlineStr">
        <is>
          <t>m250210</t>
        </is>
      </c>
      <c r="B296" s="2">
        <f>IFERROR(VLOOKUP(A296,Students!$A:$B,2,FALSE),"")</f>
        <v/>
      </c>
      <c r="C296" s="2" t="inlineStr">
        <is>
          <t>Fall 2025</t>
        </is>
      </c>
      <c r="D296" s="2" t="inlineStr">
        <is>
          <t>Semester 2</t>
        </is>
      </c>
      <c r="E296" s="2" t="inlineStr">
        <is>
          <t>IRL 590</t>
        </is>
      </c>
      <c r="F296" s="2">
        <f>IFERROR(VLOOKUP(E296,Courses!$A:$C,2,FALSE),"")</f>
        <v/>
      </c>
      <c r="G296" s="2">
        <f>IFERROR(VLOOKUP(E296,Courses!$A:$C,3,FALSE),0)</f>
        <v/>
      </c>
      <c r="H296" s="2" t="inlineStr">
        <is>
          <t>A-</t>
        </is>
      </c>
      <c r="I296" s="2" t="n">
        <v>92</v>
      </c>
      <c r="J296" s="2">
        <f>IFERROR(VLOOKUP(H296,'Grade Scale'!$A:$B,2,FALSE),0)</f>
        <v/>
      </c>
      <c r="K296" s="2">
        <f>J296*G296</f>
        <v/>
      </c>
      <c r="L296" s="2">
        <f>IF(H296="F",0,G296)</f>
        <v/>
      </c>
    </row>
    <row r="297">
      <c r="A297" s="2" t="inlineStr">
        <is>
          <t>m250210</t>
        </is>
      </c>
      <c r="B297" s="2">
        <f>IFERROR(VLOOKUP(A297,Students!$A:$B,2,FALSE),"")</f>
        <v/>
      </c>
      <c r="C297" s="2" t="inlineStr">
        <is>
          <t>Spring 2026</t>
        </is>
      </c>
      <c r="D297" s="2" t="inlineStr">
        <is>
          <t>Semester 3</t>
        </is>
      </c>
      <c r="E297" s="2" t="inlineStr">
        <is>
          <t>IRL 610</t>
        </is>
      </c>
      <c r="F297" s="2">
        <f>IFERROR(VLOOKUP(E297,Courses!$A:$C,2,FALSE),"")</f>
        <v/>
      </c>
      <c r="G297" s="2">
        <f>IFERROR(VLOOKUP(E297,Courses!$A:$C,3,FALSE),0)</f>
        <v/>
      </c>
      <c r="H297" s="2" t="inlineStr">
        <is>
          <t>A-</t>
        </is>
      </c>
      <c r="I297" s="2" t="n">
        <v>92</v>
      </c>
      <c r="J297" s="2">
        <f>IFERROR(VLOOKUP(H297,'Grade Scale'!$A:$B,2,FALSE),0)</f>
        <v/>
      </c>
      <c r="K297" s="2">
        <f>J297*G297</f>
        <v/>
      </c>
      <c r="L297" s="2">
        <f>IF(H297="F",0,G297)</f>
        <v/>
      </c>
    </row>
    <row r="298">
      <c r="A298" s="2" t="inlineStr">
        <is>
          <t>m250210</t>
        </is>
      </c>
      <c r="B298" s="2">
        <f>IFERROR(VLOOKUP(A298,Students!$A:$B,2,FALSE),"")</f>
        <v/>
      </c>
      <c r="C298" s="2" t="inlineStr">
        <is>
          <t>Spring 2026</t>
        </is>
      </c>
      <c r="D298" s="2" t="inlineStr">
        <is>
          <t>Semester 3</t>
        </is>
      </c>
      <c r="E298" s="2" t="inlineStr">
        <is>
          <t>IRL 620</t>
        </is>
      </c>
      <c r="F298" s="2">
        <f>IFERROR(VLOOKUP(E298,Courses!$A:$C,2,FALSE),"")</f>
        <v/>
      </c>
      <c r="G298" s="2">
        <f>IFERROR(VLOOKUP(E298,Courses!$A:$C,3,FALSE),0)</f>
        <v/>
      </c>
      <c r="H298" s="2" t="inlineStr">
        <is>
          <t>B</t>
        </is>
      </c>
      <c r="I298" s="2" t="n">
        <v>85</v>
      </c>
      <c r="J298" s="2">
        <f>IFERROR(VLOOKUP(H298,'Grade Scale'!$A:$B,2,FALSE),0)</f>
        <v/>
      </c>
      <c r="K298" s="2">
        <f>J298*G298</f>
        <v/>
      </c>
      <c r="L298" s="2">
        <f>IF(H298="F",0,G298)</f>
        <v/>
      </c>
    </row>
    <row r="299">
      <c r="A299" s="2" t="inlineStr">
        <is>
          <t>m250210</t>
        </is>
      </c>
      <c r="B299" s="2">
        <f>IFERROR(VLOOKUP(A299,Students!$A:$B,2,FALSE),"")</f>
        <v/>
      </c>
      <c r="C299" s="2" t="inlineStr">
        <is>
          <t>Spring 2026</t>
        </is>
      </c>
      <c r="D299" s="2" t="inlineStr">
        <is>
          <t>Semester 3</t>
        </is>
      </c>
      <c r="E299" s="2" t="inlineStr">
        <is>
          <t>IRL 630</t>
        </is>
      </c>
      <c r="F299" s="2">
        <f>IFERROR(VLOOKUP(E299,Courses!$A:$C,2,FALSE),"")</f>
        <v/>
      </c>
      <c r="G299" s="2">
        <f>IFERROR(VLOOKUP(E299,Courses!$A:$C,3,FALSE),0)</f>
        <v/>
      </c>
      <c r="H299" s="2" t="inlineStr">
        <is>
          <t>A</t>
        </is>
      </c>
      <c r="I299" s="2" t="n">
        <v>97</v>
      </c>
      <c r="J299" s="2">
        <f>IFERROR(VLOOKUP(H299,'Grade Scale'!$A:$B,2,FALSE),0)</f>
        <v/>
      </c>
      <c r="K299" s="2">
        <f>J299*G299</f>
        <v/>
      </c>
      <c r="L299" s="2">
        <f>IF(H299="F",0,G299)</f>
        <v/>
      </c>
    </row>
    <row r="300">
      <c r="A300" s="2" t="inlineStr">
        <is>
          <t>m250210</t>
        </is>
      </c>
      <c r="B300" s="2">
        <f>IFERROR(VLOOKUP(A300,Students!$A:$B,2,FALSE),"")</f>
        <v/>
      </c>
      <c r="C300" s="2" t="inlineStr">
        <is>
          <t>Spring 2026</t>
        </is>
      </c>
      <c r="D300" s="2" t="inlineStr">
        <is>
          <t>Semester 3</t>
        </is>
      </c>
      <c r="E300" s="2" t="inlineStr">
        <is>
          <t>IRL 640</t>
        </is>
      </c>
      <c r="F300" s="2">
        <f>IFERROR(VLOOKUP(E300,Courses!$A:$C,2,FALSE),"")</f>
        <v/>
      </c>
      <c r="G300" s="2">
        <f>IFERROR(VLOOKUP(E300,Courses!$A:$C,3,FALSE),0)</f>
        <v/>
      </c>
      <c r="H300" s="2" t="inlineStr">
        <is>
          <t>B+</t>
        </is>
      </c>
      <c r="I300" s="2" t="n">
        <v>89</v>
      </c>
      <c r="J300" s="2">
        <f>IFERROR(VLOOKUP(H300,'Grade Scale'!$A:$B,2,FALSE),0)</f>
        <v/>
      </c>
      <c r="K300" s="2">
        <f>J300*G300</f>
        <v/>
      </c>
      <c r="L300" s="2">
        <f>IF(H300="F",0,G300)</f>
        <v/>
      </c>
    </row>
    <row r="301">
      <c r="A301" s="2" t="inlineStr">
        <is>
          <t>m250210</t>
        </is>
      </c>
      <c r="B301" s="2">
        <f>IFERROR(VLOOKUP(A301,Students!$A:$B,2,FALSE),"")</f>
        <v/>
      </c>
      <c r="C301" s="2" t="inlineStr">
        <is>
          <t>Spring 2026</t>
        </is>
      </c>
      <c r="D301" s="2" t="inlineStr">
        <is>
          <t>Semester 3</t>
        </is>
      </c>
      <c r="E301" s="2" t="inlineStr">
        <is>
          <t>IRL 690</t>
        </is>
      </c>
      <c r="F301" s="2">
        <f>IFERROR(VLOOKUP(E301,Courses!$A:$C,2,FALSE),"")</f>
        <v/>
      </c>
      <c r="G301" s="2">
        <f>IFERROR(VLOOKUP(E301,Courses!$A:$C,3,FALSE),0)</f>
        <v/>
      </c>
      <c r="H301" s="2" t="inlineStr">
        <is>
          <t>B+</t>
        </is>
      </c>
      <c r="I301" s="2" t="n">
        <v>89</v>
      </c>
      <c r="J301" s="2">
        <f>IFERROR(VLOOKUP(H301,'Grade Scale'!$A:$B,2,FALSE),0)</f>
        <v/>
      </c>
      <c r="K301" s="2">
        <f>J301*G301</f>
        <v/>
      </c>
      <c r="L301" s="2">
        <f>IF(H301="F",0,G301)</f>
        <v/>
      </c>
    </row>
    <row r="302">
      <c r="A302" s="2" t="inlineStr">
        <is>
          <t>m250301</t>
        </is>
      </c>
      <c r="B302" s="2">
        <f>IFERROR(VLOOKUP(A302,Students!$A:$B,2,FALSE),"")</f>
        <v/>
      </c>
      <c r="C302" s="2" t="inlineStr">
        <is>
          <t>Fall 2025</t>
        </is>
      </c>
      <c r="D302" s="2" t="inlineStr">
        <is>
          <t>Semester 1</t>
        </is>
      </c>
      <c r="E302" s="2" t="inlineStr">
        <is>
          <t>CSE 101</t>
        </is>
      </c>
      <c r="F302" s="2">
        <f>IFERROR(VLOOKUP(E302,Courses!$A:$C,2,FALSE),"")</f>
        <v/>
      </c>
      <c r="G302" s="2">
        <f>IFERROR(VLOOKUP(E302,Courses!$A:$C,3,FALSE),0)</f>
        <v/>
      </c>
      <c r="H302" s="2" t="inlineStr">
        <is>
          <t>C</t>
        </is>
      </c>
      <c r="I302" s="2" t="n">
        <v>73</v>
      </c>
      <c r="J302" s="2">
        <f>IFERROR(VLOOKUP(H302,'Grade Scale'!$A:$B,2,FALSE),0)</f>
        <v/>
      </c>
      <c r="K302" s="2">
        <f>J302*G302</f>
        <v/>
      </c>
      <c r="L302" s="2">
        <f>IF(H302="F",0,G302)</f>
        <v/>
      </c>
    </row>
    <row r="303">
      <c r="A303" s="2" t="inlineStr">
        <is>
          <t>m250301</t>
        </is>
      </c>
      <c r="B303" s="2">
        <f>IFERROR(VLOOKUP(A303,Students!$A:$B,2,FALSE),"")</f>
        <v/>
      </c>
      <c r="C303" s="2" t="inlineStr">
        <is>
          <t>Fall 2025</t>
        </is>
      </c>
      <c r="D303" s="2" t="inlineStr">
        <is>
          <t>Semester 1</t>
        </is>
      </c>
      <c r="E303" s="2" t="inlineStr">
        <is>
          <t>MTH 110</t>
        </is>
      </c>
      <c r="F303" s="2">
        <f>IFERROR(VLOOKUP(E303,Courses!$A:$C,2,FALSE),"")</f>
        <v/>
      </c>
      <c r="G303" s="2">
        <f>IFERROR(VLOOKUP(E303,Courses!$A:$C,3,FALSE),0)</f>
        <v/>
      </c>
      <c r="H303" s="2" t="inlineStr">
        <is>
          <t>C</t>
        </is>
      </c>
      <c r="I303" s="2" t="n">
        <v>75</v>
      </c>
      <c r="J303" s="2">
        <f>IFERROR(VLOOKUP(H303,'Grade Scale'!$A:$B,2,FALSE),0)</f>
        <v/>
      </c>
      <c r="K303" s="2">
        <f>J303*G303</f>
        <v/>
      </c>
      <c r="L303" s="2">
        <f>IF(H303="F",0,G303)</f>
        <v/>
      </c>
    </row>
    <row r="304">
      <c r="A304" s="2" t="inlineStr">
        <is>
          <t>m250301</t>
        </is>
      </c>
      <c r="B304" s="2">
        <f>IFERROR(VLOOKUP(A304,Students!$A:$B,2,FALSE),"")</f>
        <v/>
      </c>
      <c r="C304" s="2" t="inlineStr">
        <is>
          <t>Fall 2025</t>
        </is>
      </c>
      <c r="D304" s="2" t="inlineStr">
        <is>
          <t>Semester 1</t>
        </is>
      </c>
      <c r="E304" s="2" t="inlineStr">
        <is>
          <t>CSE 120</t>
        </is>
      </c>
      <c r="F304" s="2">
        <f>IFERROR(VLOOKUP(E304,Courses!$A:$C,2,FALSE),"")</f>
        <v/>
      </c>
      <c r="G304" s="2">
        <f>IFERROR(VLOOKUP(E304,Courses!$A:$C,3,FALSE),0)</f>
        <v/>
      </c>
      <c r="H304" s="2" t="inlineStr">
        <is>
          <t>C</t>
        </is>
      </c>
      <c r="I304" s="2" t="n">
        <v>75</v>
      </c>
      <c r="J304" s="2">
        <f>IFERROR(VLOOKUP(H304,'Grade Scale'!$A:$B,2,FALSE),0)</f>
        <v/>
      </c>
      <c r="K304" s="2">
        <f>J304*G304</f>
        <v/>
      </c>
      <c r="L304" s="2">
        <f>IF(H304="F",0,G304)</f>
        <v/>
      </c>
    </row>
    <row r="305">
      <c r="A305" s="2" t="inlineStr">
        <is>
          <t>m250301</t>
        </is>
      </c>
      <c r="B305" s="2">
        <f>IFERROR(VLOOKUP(A305,Students!$A:$B,2,FALSE),"")</f>
        <v/>
      </c>
      <c r="C305" s="2" t="inlineStr">
        <is>
          <t>Fall 2025</t>
        </is>
      </c>
      <c r="D305" s="2" t="inlineStr">
        <is>
          <t>Semester 1</t>
        </is>
      </c>
      <c r="E305" s="2" t="inlineStr">
        <is>
          <t>ENG 101</t>
        </is>
      </c>
      <c r="F305" s="2">
        <f>IFERROR(VLOOKUP(E305,Courses!$A:$C,2,FALSE),"")</f>
        <v/>
      </c>
      <c r="G305" s="2">
        <f>IFERROR(VLOOKUP(E305,Courses!$A:$C,3,FALSE),0)</f>
        <v/>
      </c>
      <c r="H305" s="2" t="inlineStr">
        <is>
          <t>B-</t>
        </is>
      </c>
      <c r="I305" s="2" t="n">
        <v>81</v>
      </c>
      <c r="J305" s="2">
        <f>IFERROR(VLOOKUP(H305,'Grade Scale'!$A:$B,2,FALSE),0)</f>
        <v/>
      </c>
      <c r="K305" s="2">
        <f>J305*G305</f>
        <v/>
      </c>
      <c r="L305" s="2">
        <f>IF(H305="F",0,G305)</f>
        <v/>
      </c>
    </row>
    <row r="306">
      <c r="A306" s="2" t="inlineStr">
        <is>
          <t>m250301</t>
        </is>
      </c>
      <c r="B306" s="2">
        <f>IFERROR(VLOOKUP(A306,Students!$A:$B,2,FALSE),"")</f>
        <v/>
      </c>
      <c r="C306" s="2" t="inlineStr">
        <is>
          <t>Fall 2025</t>
        </is>
      </c>
      <c r="D306" s="2" t="inlineStr">
        <is>
          <t>Semester 1</t>
        </is>
      </c>
      <c r="E306" s="2" t="inlineStr">
        <is>
          <t>MTH 120</t>
        </is>
      </c>
      <c r="F306" s="2">
        <f>IFERROR(VLOOKUP(E306,Courses!$A:$C,2,FALSE),"")</f>
        <v/>
      </c>
      <c r="G306" s="2">
        <f>IFERROR(VLOOKUP(E306,Courses!$A:$C,3,FALSE),0)</f>
        <v/>
      </c>
      <c r="H306" s="2" t="inlineStr">
        <is>
          <t>C</t>
        </is>
      </c>
      <c r="I306" s="2" t="n">
        <v>74</v>
      </c>
      <c r="J306" s="2">
        <f>IFERROR(VLOOKUP(H306,'Grade Scale'!$A:$B,2,FALSE),0)</f>
        <v/>
      </c>
      <c r="K306" s="2">
        <f>J306*G306</f>
        <v/>
      </c>
      <c r="L306" s="2">
        <f>IF(H306="F",0,G306)</f>
        <v/>
      </c>
    </row>
    <row r="307">
      <c r="A307" s="2" t="inlineStr">
        <is>
          <t>m250301</t>
        </is>
      </c>
      <c r="B307" s="2">
        <f>IFERROR(VLOOKUP(A307,Students!$A:$B,2,FALSE),"")</f>
        <v/>
      </c>
      <c r="C307" s="2" t="inlineStr">
        <is>
          <t>Spring 2026</t>
        </is>
      </c>
      <c r="D307" s="2" t="inlineStr">
        <is>
          <t>Semester 2</t>
        </is>
      </c>
      <c r="E307" s="2" t="inlineStr">
        <is>
          <t>CSE 150</t>
        </is>
      </c>
      <c r="F307" s="2">
        <f>IFERROR(VLOOKUP(E307,Courses!$A:$C,2,FALSE),"")</f>
        <v/>
      </c>
      <c r="G307" s="2">
        <f>IFERROR(VLOOKUP(E307,Courses!$A:$C,3,FALSE),0)</f>
        <v/>
      </c>
      <c r="H307" s="2" t="inlineStr">
        <is>
          <t>B-</t>
        </is>
      </c>
      <c r="I307" s="2" t="n">
        <v>80</v>
      </c>
      <c r="J307" s="2">
        <f>IFERROR(VLOOKUP(H307,'Grade Scale'!$A:$B,2,FALSE),0)</f>
        <v/>
      </c>
      <c r="K307" s="2">
        <f>J307*G307</f>
        <v/>
      </c>
      <c r="L307" s="2">
        <f>IF(H307="F",0,G307)</f>
        <v/>
      </c>
    </row>
    <row r="308">
      <c r="A308" s="2" t="inlineStr">
        <is>
          <t>m250301</t>
        </is>
      </c>
      <c r="B308" s="2">
        <f>IFERROR(VLOOKUP(A308,Students!$A:$B,2,FALSE),"")</f>
        <v/>
      </c>
      <c r="C308" s="2" t="inlineStr">
        <is>
          <t>Spring 2026</t>
        </is>
      </c>
      <c r="D308" s="2" t="inlineStr">
        <is>
          <t>Semester 2</t>
        </is>
      </c>
      <c r="E308" s="2" t="inlineStr">
        <is>
          <t>CSE 160</t>
        </is>
      </c>
      <c r="F308" s="2">
        <f>IFERROR(VLOOKUP(E308,Courses!$A:$C,2,FALSE),"")</f>
        <v/>
      </c>
      <c r="G308" s="2">
        <f>IFERROR(VLOOKUP(E308,Courses!$A:$C,3,FALSE),0)</f>
        <v/>
      </c>
      <c r="H308" s="2" t="inlineStr">
        <is>
          <t>B</t>
        </is>
      </c>
      <c r="I308" s="2" t="n">
        <v>83</v>
      </c>
      <c r="J308" s="2">
        <f>IFERROR(VLOOKUP(H308,'Grade Scale'!$A:$B,2,FALSE),0)</f>
        <v/>
      </c>
      <c r="K308" s="2">
        <f>J308*G308</f>
        <v/>
      </c>
      <c r="L308" s="2">
        <f>IF(H308="F",0,G308)</f>
        <v/>
      </c>
    </row>
    <row r="309">
      <c r="A309" s="2" t="inlineStr">
        <is>
          <t>m250301</t>
        </is>
      </c>
      <c r="B309" s="2">
        <f>IFERROR(VLOOKUP(A309,Students!$A:$B,2,FALSE),"")</f>
        <v/>
      </c>
      <c r="C309" s="2" t="inlineStr">
        <is>
          <t>Spring 2026</t>
        </is>
      </c>
      <c r="D309" s="2" t="inlineStr">
        <is>
          <t>Semester 2</t>
        </is>
      </c>
      <c r="E309" s="2" t="inlineStr">
        <is>
          <t>CSE 170</t>
        </is>
      </c>
      <c r="F309" s="2">
        <f>IFERROR(VLOOKUP(E309,Courses!$A:$C,2,FALSE),"")</f>
        <v/>
      </c>
      <c r="G309" s="2">
        <f>IFERROR(VLOOKUP(E309,Courses!$A:$C,3,FALSE),0)</f>
        <v/>
      </c>
      <c r="H309" s="2" t="inlineStr">
        <is>
          <t>B</t>
        </is>
      </c>
      <c r="I309" s="2" t="n">
        <v>83</v>
      </c>
      <c r="J309" s="2">
        <f>IFERROR(VLOOKUP(H309,'Grade Scale'!$A:$B,2,FALSE),0)</f>
        <v/>
      </c>
      <c r="K309" s="2">
        <f>J309*G309</f>
        <v/>
      </c>
      <c r="L309" s="2">
        <f>IF(H309="F",0,G309)</f>
        <v/>
      </c>
    </row>
    <row r="310">
      <c r="A310" s="2" t="inlineStr">
        <is>
          <t>m250301</t>
        </is>
      </c>
      <c r="B310" s="2">
        <f>IFERROR(VLOOKUP(A310,Students!$A:$B,2,FALSE),"")</f>
        <v/>
      </c>
      <c r="C310" s="2" t="inlineStr">
        <is>
          <t>Spring 2026</t>
        </is>
      </c>
      <c r="D310" s="2" t="inlineStr">
        <is>
          <t>Semester 2</t>
        </is>
      </c>
      <c r="E310" s="2" t="inlineStr">
        <is>
          <t>ENG 102</t>
        </is>
      </c>
      <c r="F310" s="2">
        <f>IFERROR(VLOOKUP(E310,Courses!$A:$C,2,FALSE),"")</f>
        <v/>
      </c>
      <c r="G310" s="2">
        <f>IFERROR(VLOOKUP(E310,Courses!$A:$C,3,FALSE),0)</f>
        <v/>
      </c>
      <c r="H310" s="2" t="inlineStr">
        <is>
          <t>C-</t>
        </is>
      </c>
      <c r="I310" s="2" t="n">
        <v>71</v>
      </c>
      <c r="J310" s="2">
        <f>IFERROR(VLOOKUP(H310,'Grade Scale'!$A:$B,2,FALSE),0)</f>
        <v/>
      </c>
      <c r="K310" s="2">
        <f>J310*G310</f>
        <v/>
      </c>
      <c r="L310" s="2">
        <f>IF(H310="F",0,G310)</f>
        <v/>
      </c>
    </row>
    <row r="311">
      <c r="A311" s="2" t="inlineStr">
        <is>
          <t>m250301</t>
        </is>
      </c>
      <c r="B311" s="2">
        <f>IFERROR(VLOOKUP(A311,Students!$A:$B,2,FALSE),"")</f>
        <v/>
      </c>
      <c r="C311" s="2" t="inlineStr">
        <is>
          <t>Spring 2026</t>
        </is>
      </c>
      <c r="D311" s="2" t="inlineStr">
        <is>
          <t>Semester 2</t>
        </is>
      </c>
      <c r="E311" s="2" t="inlineStr">
        <is>
          <t>MTH 130</t>
        </is>
      </c>
      <c r="F311" s="2">
        <f>IFERROR(VLOOKUP(E311,Courses!$A:$C,2,FALSE),"")</f>
        <v/>
      </c>
      <c r="G311" s="2">
        <f>IFERROR(VLOOKUP(E311,Courses!$A:$C,3,FALSE),0)</f>
        <v/>
      </c>
      <c r="H311" s="2" t="inlineStr">
        <is>
          <t>D</t>
        </is>
      </c>
      <c r="I311" s="2" t="n">
        <v>66</v>
      </c>
      <c r="J311" s="2">
        <f>IFERROR(VLOOKUP(H311,'Grade Scale'!$A:$B,2,FALSE),0)</f>
        <v/>
      </c>
      <c r="K311" s="2">
        <f>J311*G311</f>
        <v/>
      </c>
      <c r="L311" s="2">
        <f>IF(H311="F",0,G311)</f>
        <v/>
      </c>
    </row>
    <row r="312">
      <c r="A312" s="2" t="inlineStr">
        <is>
          <t>m250302</t>
        </is>
      </c>
      <c r="B312" s="2">
        <f>IFERROR(VLOOKUP(A312,Students!$A:$B,2,FALSE),"")</f>
        <v/>
      </c>
      <c r="C312" s="2" t="inlineStr">
        <is>
          <t>Fall 2025</t>
        </is>
      </c>
      <c r="D312" s="2" t="inlineStr">
        <is>
          <t>Semester 1</t>
        </is>
      </c>
      <c r="E312" s="2" t="inlineStr">
        <is>
          <t>ART 101</t>
        </is>
      </c>
      <c r="F312" s="2">
        <f>IFERROR(VLOOKUP(E312,Courses!$A:$C,2,FALSE),"")</f>
        <v/>
      </c>
      <c r="G312" s="2">
        <f>IFERROR(VLOOKUP(E312,Courses!$A:$C,3,FALSE),0)</f>
        <v/>
      </c>
      <c r="H312" s="2" t="inlineStr">
        <is>
          <t>B</t>
        </is>
      </c>
      <c r="I312" s="2" t="n">
        <v>86</v>
      </c>
      <c r="J312" s="2">
        <f>IFERROR(VLOOKUP(H312,'Grade Scale'!$A:$B,2,FALSE),0)</f>
        <v/>
      </c>
      <c r="K312" s="2">
        <f>J312*G312</f>
        <v/>
      </c>
      <c r="L312" s="2">
        <f>IF(H312="F",0,G312)</f>
        <v/>
      </c>
    </row>
    <row r="313">
      <c r="A313" s="2" t="inlineStr">
        <is>
          <t>m250302</t>
        </is>
      </c>
      <c r="B313" s="2">
        <f>IFERROR(VLOOKUP(A313,Students!$A:$B,2,FALSE),"")</f>
        <v/>
      </c>
      <c r="C313" s="2" t="inlineStr">
        <is>
          <t>Fall 2025</t>
        </is>
      </c>
      <c r="D313" s="2" t="inlineStr">
        <is>
          <t>Semester 1</t>
        </is>
      </c>
      <c r="E313" s="2" t="inlineStr">
        <is>
          <t>DES 101</t>
        </is>
      </c>
      <c r="F313" s="2">
        <f>IFERROR(VLOOKUP(E313,Courses!$A:$C,2,FALSE),"")</f>
        <v/>
      </c>
      <c r="G313" s="2">
        <f>IFERROR(VLOOKUP(E313,Courses!$A:$C,3,FALSE),0)</f>
        <v/>
      </c>
      <c r="H313" s="2" t="inlineStr">
        <is>
          <t>B-</t>
        </is>
      </c>
      <c r="I313" s="2" t="n">
        <v>82</v>
      </c>
      <c r="J313" s="2">
        <f>IFERROR(VLOOKUP(H313,'Grade Scale'!$A:$B,2,FALSE),0)</f>
        <v/>
      </c>
      <c r="K313" s="2">
        <f>J313*G313</f>
        <v/>
      </c>
      <c r="L313" s="2">
        <f>IF(H313="F",0,G313)</f>
        <v/>
      </c>
    </row>
    <row r="314">
      <c r="A314" s="2" t="inlineStr">
        <is>
          <t>m250302</t>
        </is>
      </c>
      <c r="B314" s="2">
        <f>IFERROR(VLOOKUP(A314,Students!$A:$B,2,FALSE),"")</f>
        <v/>
      </c>
      <c r="C314" s="2" t="inlineStr">
        <is>
          <t>Fall 2025</t>
        </is>
      </c>
      <c r="D314" s="2" t="inlineStr">
        <is>
          <t>Semester 1</t>
        </is>
      </c>
      <c r="E314" s="2" t="inlineStr">
        <is>
          <t>ART 110</t>
        </is>
      </c>
      <c r="F314" s="2">
        <f>IFERROR(VLOOKUP(E314,Courses!$A:$C,2,FALSE),"")</f>
        <v/>
      </c>
      <c r="G314" s="2">
        <f>IFERROR(VLOOKUP(E314,Courses!$A:$C,3,FALSE),0)</f>
        <v/>
      </c>
      <c r="H314" s="2" t="inlineStr">
        <is>
          <t>B+</t>
        </is>
      </c>
      <c r="I314" s="2" t="n">
        <v>88</v>
      </c>
      <c r="J314" s="2">
        <f>IFERROR(VLOOKUP(H314,'Grade Scale'!$A:$B,2,FALSE),0)</f>
        <v/>
      </c>
      <c r="K314" s="2">
        <f>J314*G314</f>
        <v/>
      </c>
      <c r="L314" s="2">
        <f>IF(H314="F",0,G314)</f>
        <v/>
      </c>
    </row>
    <row r="315">
      <c r="A315" s="2" t="inlineStr">
        <is>
          <t>m250302</t>
        </is>
      </c>
      <c r="B315" s="2">
        <f>IFERROR(VLOOKUP(A315,Students!$A:$B,2,FALSE),"")</f>
        <v/>
      </c>
      <c r="C315" s="2" t="inlineStr">
        <is>
          <t>Fall 2025</t>
        </is>
      </c>
      <c r="D315" s="2" t="inlineStr">
        <is>
          <t>Semester 1</t>
        </is>
      </c>
      <c r="E315" s="2" t="inlineStr">
        <is>
          <t>ENG 101</t>
        </is>
      </c>
      <c r="F315" s="2">
        <f>IFERROR(VLOOKUP(E315,Courses!$A:$C,2,FALSE),"")</f>
        <v/>
      </c>
      <c r="G315" s="2">
        <f>IFERROR(VLOOKUP(E315,Courses!$A:$C,3,FALSE),0)</f>
        <v/>
      </c>
      <c r="H315" s="2" t="inlineStr">
        <is>
          <t>A-</t>
        </is>
      </c>
      <c r="I315" s="2" t="n">
        <v>91</v>
      </c>
      <c r="J315" s="2">
        <f>IFERROR(VLOOKUP(H315,'Grade Scale'!$A:$B,2,FALSE),0)</f>
        <v/>
      </c>
      <c r="K315" s="2">
        <f>J315*G315</f>
        <v/>
      </c>
      <c r="L315" s="2">
        <f>IF(H315="F",0,G315)</f>
        <v/>
      </c>
    </row>
    <row r="316">
      <c r="A316" s="2" t="inlineStr">
        <is>
          <t>m250302</t>
        </is>
      </c>
      <c r="B316" s="2">
        <f>IFERROR(VLOOKUP(A316,Students!$A:$B,2,FALSE),"")</f>
        <v/>
      </c>
      <c r="C316" s="2" t="inlineStr">
        <is>
          <t>Fall 2025</t>
        </is>
      </c>
      <c r="D316" s="2" t="inlineStr">
        <is>
          <t>Semester 1</t>
        </is>
      </c>
      <c r="E316" s="2" t="inlineStr">
        <is>
          <t>HIS 101</t>
        </is>
      </c>
      <c r="F316" s="2">
        <f>IFERROR(VLOOKUP(E316,Courses!$A:$C,2,FALSE),"")</f>
        <v/>
      </c>
      <c r="G316" s="2">
        <f>IFERROR(VLOOKUP(E316,Courses!$A:$C,3,FALSE),0)</f>
        <v/>
      </c>
      <c r="H316" s="2" t="inlineStr">
        <is>
          <t>A</t>
        </is>
      </c>
      <c r="I316" s="2" t="n">
        <v>93</v>
      </c>
      <c r="J316" s="2">
        <f>IFERROR(VLOOKUP(H316,'Grade Scale'!$A:$B,2,FALSE),0)</f>
        <v/>
      </c>
      <c r="K316" s="2">
        <f>J316*G316</f>
        <v/>
      </c>
      <c r="L316" s="2">
        <f>IF(H316="F",0,G316)</f>
        <v/>
      </c>
    </row>
    <row r="317">
      <c r="A317" s="2" t="inlineStr">
        <is>
          <t>m250302</t>
        </is>
      </c>
      <c r="B317" s="2">
        <f>IFERROR(VLOOKUP(A317,Students!$A:$B,2,FALSE),"")</f>
        <v/>
      </c>
      <c r="C317" s="2" t="inlineStr">
        <is>
          <t>Spring 2026</t>
        </is>
      </c>
      <c r="D317" s="2" t="inlineStr">
        <is>
          <t>Semester 2</t>
        </is>
      </c>
      <c r="E317" s="2" t="inlineStr">
        <is>
          <t>DES 150</t>
        </is>
      </c>
      <c r="F317" s="2">
        <f>IFERROR(VLOOKUP(E317,Courses!$A:$C,2,FALSE),"")</f>
        <v/>
      </c>
      <c r="G317" s="2">
        <f>IFERROR(VLOOKUP(E317,Courses!$A:$C,3,FALSE),0)</f>
        <v/>
      </c>
      <c r="H317" s="2" t="inlineStr">
        <is>
          <t>B+</t>
        </is>
      </c>
      <c r="I317" s="2" t="n">
        <v>89</v>
      </c>
      <c r="J317" s="2">
        <f>IFERROR(VLOOKUP(H317,'Grade Scale'!$A:$B,2,FALSE),0)</f>
        <v/>
      </c>
      <c r="K317" s="2">
        <f>J317*G317</f>
        <v/>
      </c>
      <c r="L317" s="2">
        <f>IF(H317="F",0,G317)</f>
        <v/>
      </c>
    </row>
    <row r="318">
      <c r="A318" s="2" t="inlineStr">
        <is>
          <t>m250302</t>
        </is>
      </c>
      <c r="B318" s="2">
        <f>IFERROR(VLOOKUP(A318,Students!$A:$B,2,FALSE),"")</f>
        <v/>
      </c>
      <c r="C318" s="2" t="inlineStr">
        <is>
          <t>Spring 2026</t>
        </is>
      </c>
      <c r="D318" s="2" t="inlineStr">
        <is>
          <t>Semester 2</t>
        </is>
      </c>
      <c r="E318" s="2" t="inlineStr">
        <is>
          <t>DES 160</t>
        </is>
      </c>
      <c r="F318" s="2">
        <f>IFERROR(VLOOKUP(E318,Courses!$A:$C,2,FALSE),"")</f>
        <v/>
      </c>
      <c r="G318" s="2">
        <f>IFERROR(VLOOKUP(E318,Courses!$A:$C,3,FALSE),0)</f>
        <v/>
      </c>
      <c r="H318" s="2" t="inlineStr">
        <is>
          <t>B</t>
        </is>
      </c>
      <c r="I318" s="2" t="n">
        <v>83</v>
      </c>
      <c r="J318" s="2">
        <f>IFERROR(VLOOKUP(H318,'Grade Scale'!$A:$B,2,FALSE),0)</f>
        <v/>
      </c>
      <c r="K318" s="2">
        <f>J318*G318</f>
        <v/>
      </c>
      <c r="L318" s="2">
        <f>IF(H318="F",0,G318)</f>
        <v/>
      </c>
    </row>
    <row r="319">
      <c r="A319" s="2" t="inlineStr">
        <is>
          <t>m250302</t>
        </is>
      </c>
      <c r="B319" s="2">
        <f>IFERROR(VLOOKUP(A319,Students!$A:$B,2,FALSE),"")</f>
        <v/>
      </c>
      <c r="C319" s="2" t="inlineStr">
        <is>
          <t>Spring 2026</t>
        </is>
      </c>
      <c r="D319" s="2" t="inlineStr">
        <is>
          <t>Semester 2</t>
        </is>
      </c>
      <c r="E319" s="2" t="inlineStr">
        <is>
          <t>DES 170</t>
        </is>
      </c>
      <c r="F319" s="2">
        <f>IFERROR(VLOOKUP(E319,Courses!$A:$C,2,FALSE),"")</f>
        <v/>
      </c>
      <c r="G319" s="2">
        <f>IFERROR(VLOOKUP(E319,Courses!$A:$C,3,FALSE),0)</f>
        <v/>
      </c>
      <c r="H319" s="2" t="inlineStr">
        <is>
          <t>B+</t>
        </is>
      </c>
      <c r="I319" s="2" t="n">
        <v>89</v>
      </c>
      <c r="J319" s="2">
        <f>IFERROR(VLOOKUP(H319,'Grade Scale'!$A:$B,2,FALSE),0)</f>
        <v/>
      </c>
      <c r="K319" s="2">
        <f>J319*G319</f>
        <v/>
      </c>
      <c r="L319" s="2">
        <f>IF(H319="F",0,G319)</f>
        <v/>
      </c>
    </row>
    <row r="320">
      <c r="A320" s="2" t="inlineStr">
        <is>
          <t>m250302</t>
        </is>
      </c>
      <c r="B320" s="2">
        <f>IFERROR(VLOOKUP(A320,Students!$A:$B,2,FALSE),"")</f>
        <v/>
      </c>
      <c r="C320" s="2" t="inlineStr">
        <is>
          <t>Spring 2026</t>
        </is>
      </c>
      <c r="D320" s="2" t="inlineStr">
        <is>
          <t>Semester 2</t>
        </is>
      </c>
      <c r="E320" s="2" t="inlineStr">
        <is>
          <t>ENG 102</t>
        </is>
      </c>
      <c r="F320" s="2">
        <f>IFERROR(VLOOKUP(E320,Courses!$A:$C,2,FALSE),"")</f>
        <v/>
      </c>
      <c r="G320" s="2">
        <f>IFERROR(VLOOKUP(E320,Courses!$A:$C,3,FALSE),0)</f>
        <v/>
      </c>
      <c r="H320" s="2" t="inlineStr">
        <is>
          <t>B-</t>
        </is>
      </c>
      <c r="I320" s="2" t="n">
        <v>82</v>
      </c>
      <c r="J320" s="2">
        <f>IFERROR(VLOOKUP(H320,'Grade Scale'!$A:$B,2,FALSE),0)</f>
        <v/>
      </c>
      <c r="K320" s="2">
        <f>J320*G320</f>
        <v/>
      </c>
      <c r="L320" s="2">
        <f>IF(H320="F",0,G320)</f>
        <v/>
      </c>
    </row>
    <row r="321">
      <c r="A321" s="2" t="inlineStr">
        <is>
          <t>m250302</t>
        </is>
      </c>
      <c r="B321" s="2">
        <f>IFERROR(VLOOKUP(A321,Students!$A:$B,2,FALSE),"")</f>
        <v/>
      </c>
      <c r="C321" s="2" t="inlineStr">
        <is>
          <t>Spring 2026</t>
        </is>
      </c>
      <c r="D321" s="2" t="inlineStr">
        <is>
          <t>Semester 2</t>
        </is>
      </c>
      <c r="E321" s="2" t="inlineStr">
        <is>
          <t>ART 150</t>
        </is>
      </c>
      <c r="F321" s="2">
        <f>IFERROR(VLOOKUP(E321,Courses!$A:$C,2,FALSE),"")</f>
        <v/>
      </c>
      <c r="G321" s="2">
        <f>IFERROR(VLOOKUP(E321,Courses!$A:$C,3,FALSE),0)</f>
        <v/>
      </c>
      <c r="H321" s="2" t="inlineStr">
        <is>
          <t>A</t>
        </is>
      </c>
      <c r="I321" s="2" t="n">
        <v>100</v>
      </c>
      <c r="J321" s="2">
        <f>IFERROR(VLOOKUP(H321,'Grade Scale'!$A:$B,2,FALSE),0)</f>
        <v/>
      </c>
      <c r="K321" s="2">
        <f>J321*G321</f>
        <v/>
      </c>
      <c r="L321" s="2">
        <f>IF(H321="F",0,G321)</f>
        <v/>
      </c>
    </row>
    <row r="322">
      <c r="A322" s="2" t="inlineStr">
        <is>
          <t>m250303</t>
        </is>
      </c>
      <c r="B322" s="2">
        <f>IFERROR(VLOOKUP(A322,Students!$A:$B,2,FALSE),"")</f>
        <v/>
      </c>
      <c r="C322" s="2" t="inlineStr">
        <is>
          <t>Fall 2025</t>
        </is>
      </c>
      <c r="D322" s="2" t="inlineStr">
        <is>
          <t>Semester 1</t>
        </is>
      </c>
      <c r="E322" s="2" t="inlineStr">
        <is>
          <t>TAM 530</t>
        </is>
      </c>
      <c r="F322" s="2">
        <f>IFERROR(VLOOKUP(E322,Courses!$A:$C,2,FALSE),"")</f>
        <v/>
      </c>
      <c r="G322" s="2">
        <f>IFERROR(VLOOKUP(E322,Courses!$A:$C,3,FALSE),0)</f>
        <v/>
      </c>
      <c r="H322" s="2" t="inlineStr">
        <is>
          <t>C</t>
        </is>
      </c>
      <c r="I322" s="2" t="n">
        <v>75</v>
      </c>
      <c r="J322" s="2">
        <f>IFERROR(VLOOKUP(H322,'Grade Scale'!$A:$B,2,FALSE),0)</f>
        <v/>
      </c>
      <c r="K322" s="2">
        <f>J322*G322</f>
        <v/>
      </c>
      <c r="L322" s="2">
        <f>IF(H322="F",0,G322)</f>
        <v/>
      </c>
    </row>
    <row r="323">
      <c r="A323" s="2" t="inlineStr">
        <is>
          <t>m250303</t>
        </is>
      </c>
      <c r="B323" s="2">
        <f>IFERROR(VLOOKUP(A323,Students!$A:$B,2,FALSE),"")</f>
        <v/>
      </c>
      <c r="C323" s="2" t="inlineStr">
        <is>
          <t>Fall 2025</t>
        </is>
      </c>
      <c r="D323" s="2" t="inlineStr">
        <is>
          <t>Semester 1</t>
        </is>
      </c>
      <c r="E323" s="2" t="inlineStr">
        <is>
          <t>TGM 586</t>
        </is>
      </c>
      <c r="F323" s="2">
        <f>IFERROR(VLOOKUP(E323,Courses!$A:$C,2,FALSE),"")</f>
        <v/>
      </c>
      <c r="G323" s="2">
        <f>IFERROR(VLOOKUP(E323,Courses!$A:$C,3,FALSE),0)</f>
        <v/>
      </c>
      <c r="H323" s="2" t="inlineStr">
        <is>
          <t>C+</t>
        </is>
      </c>
      <c r="I323" s="2" t="n">
        <v>79</v>
      </c>
      <c r="J323" s="2">
        <f>IFERROR(VLOOKUP(H323,'Grade Scale'!$A:$B,2,FALSE),0)</f>
        <v/>
      </c>
      <c r="K323" s="2">
        <f>J323*G323</f>
        <v/>
      </c>
      <c r="L323" s="2">
        <f>IF(H323="F",0,G323)</f>
        <v/>
      </c>
    </row>
    <row r="324">
      <c r="A324" s="2" t="inlineStr">
        <is>
          <t>m250303</t>
        </is>
      </c>
      <c r="B324" s="2">
        <f>IFERROR(VLOOKUP(A324,Students!$A:$B,2,FALSE),"")</f>
        <v/>
      </c>
      <c r="C324" s="2" t="inlineStr">
        <is>
          <t>Fall 2025</t>
        </is>
      </c>
      <c r="D324" s="2" t="inlineStr">
        <is>
          <t>Semester 1</t>
        </is>
      </c>
      <c r="E324" s="2" t="inlineStr">
        <is>
          <t>TAM 557</t>
        </is>
      </c>
      <c r="F324" s="2">
        <f>IFERROR(VLOOKUP(E324,Courses!$A:$C,2,FALSE),"")</f>
        <v/>
      </c>
      <c r="G324" s="2">
        <f>IFERROR(VLOOKUP(E324,Courses!$A:$C,3,FALSE),0)</f>
        <v/>
      </c>
      <c r="H324" s="2" t="inlineStr">
        <is>
          <t>C+</t>
        </is>
      </c>
      <c r="I324" s="2" t="n">
        <v>77</v>
      </c>
      <c r="J324" s="2">
        <f>IFERROR(VLOOKUP(H324,'Grade Scale'!$A:$B,2,FALSE),0)</f>
        <v/>
      </c>
      <c r="K324" s="2">
        <f>J324*G324</f>
        <v/>
      </c>
      <c r="L324" s="2">
        <f>IF(H324="F",0,G324)</f>
        <v/>
      </c>
    </row>
    <row r="325">
      <c r="A325" s="2" t="inlineStr">
        <is>
          <t>m250303</t>
        </is>
      </c>
      <c r="B325" s="2">
        <f>IFERROR(VLOOKUP(A325,Students!$A:$B,2,FALSE),"")</f>
        <v/>
      </c>
      <c r="C325" s="2" t="inlineStr">
        <is>
          <t>Fall 2025</t>
        </is>
      </c>
      <c r="D325" s="2" t="inlineStr">
        <is>
          <t>Semester 1</t>
        </is>
      </c>
      <c r="E325" s="2" t="inlineStr">
        <is>
          <t>TAM 542</t>
        </is>
      </c>
      <c r="F325" s="2">
        <f>IFERROR(VLOOKUP(E325,Courses!$A:$C,2,FALSE),"")</f>
        <v/>
      </c>
      <c r="G325" s="2">
        <f>IFERROR(VLOOKUP(E325,Courses!$A:$C,3,FALSE),0)</f>
        <v/>
      </c>
      <c r="H325" s="2" t="inlineStr">
        <is>
          <t>B-</t>
        </is>
      </c>
      <c r="I325" s="2" t="n">
        <v>82</v>
      </c>
      <c r="J325" s="2">
        <f>IFERROR(VLOOKUP(H325,'Grade Scale'!$A:$B,2,FALSE),0)</f>
        <v/>
      </c>
      <c r="K325" s="2">
        <f>J325*G325</f>
        <v/>
      </c>
      <c r="L325" s="2">
        <f>IF(H325="F",0,G325)</f>
        <v/>
      </c>
    </row>
    <row r="326">
      <c r="A326" s="2" t="inlineStr">
        <is>
          <t>m250303</t>
        </is>
      </c>
      <c r="B326" s="2">
        <f>IFERROR(VLOOKUP(A326,Students!$A:$B,2,FALSE),"")</f>
        <v/>
      </c>
      <c r="C326" s="2" t="inlineStr">
        <is>
          <t>Fall 2025</t>
        </is>
      </c>
      <c r="D326" s="2" t="inlineStr">
        <is>
          <t>Semester 1</t>
        </is>
      </c>
      <c r="E326" s="2" t="inlineStr">
        <is>
          <t>TAM 511</t>
        </is>
      </c>
      <c r="F326" s="2">
        <f>IFERROR(VLOOKUP(E326,Courses!$A:$C,2,FALSE),"")</f>
        <v/>
      </c>
      <c r="G326" s="2">
        <f>IFERROR(VLOOKUP(E326,Courses!$A:$C,3,FALSE),0)</f>
        <v/>
      </c>
      <c r="H326" s="2" t="inlineStr">
        <is>
          <t>A-</t>
        </is>
      </c>
      <c r="I326" s="2" t="n">
        <v>92</v>
      </c>
      <c r="J326" s="2">
        <f>IFERROR(VLOOKUP(H326,'Grade Scale'!$A:$B,2,FALSE),0)</f>
        <v/>
      </c>
      <c r="K326" s="2">
        <f>J326*G326</f>
        <v/>
      </c>
      <c r="L326" s="2">
        <f>IF(H326="F",0,G326)</f>
        <v/>
      </c>
    </row>
    <row r="327">
      <c r="A327" s="2" t="inlineStr">
        <is>
          <t>m250303</t>
        </is>
      </c>
      <c r="B327" s="2">
        <f>IFERROR(VLOOKUP(A327,Students!$A:$B,2,FALSE),"")</f>
        <v/>
      </c>
      <c r="C327" s="2" t="inlineStr">
        <is>
          <t>Spring 2026</t>
        </is>
      </c>
      <c r="D327" s="2" t="inlineStr">
        <is>
          <t>Semester 2</t>
        </is>
      </c>
      <c r="E327" s="2" t="inlineStr">
        <is>
          <t>IAL 503</t>
        </is>
      </c>
      <c r="F327" s="2">
        <f>IFERROR(VLOOKUP(E327,Courses!$A:$C,2,FALSE),"")</f>
        <v/>
      </c>
      <c r="G327" s="2">
        <f>IFERROR(VLOOKUP(E327,Courses!$A:$C,3,FALSE),0)</f>
        <v/>
      </c>
      <c r="H327" s="2" t="inlineStr">
        <is>
          <t>B</t>
        </is>
      </c>
      <c r="I327" s="2" t="n">
        <v>83</v>
      </c>
      <c r="J327" s="2">
        <f>IFERROR(VLOOKUP(H327,'Grade Scale'!$A:$B,2,FALSE),0)</f>
        <v/>
      </c>
      <c r="K327" s="2">
        <f>J327*G327</f>
        <v/>
      </c>
      <c r="L327" s="2">
        <f>IF(H327="F",0,G327)</f>
        <v/>
      </c>
    </row>
    <row r="328">
      <c r="A328" s="2" t="inlineStr">
        <is>
          <t>m250303</t>
        </is>
      </c>
      <c r="B328" s="2">
        <f>IFERROR(VLOOKUP(A328,Students!$A:$B,2,FALSE),"")</f>
        <v/>
      </c>
      <c r="C328" s="2" t="inlineStr">
        <is>
          <t>Spring 2026</t>
        </is>
      </c>
      <c r="D328" s="2" t="inlineStr">
        <is>
          <t>Semester 2</t>
        </is>
      </c>
      <c r="E328" s="2" t="inlineStr">
        <is>
          <t>FIN 560</t>
        </is>
      </c>
      <c r="F328" s="2">
        <f>IFERROR(VLOOKUP(E328,Courses!$A:$C,2,FALSE),"")</f>
        <v/>
      </c>
      <c r="G328" s="2">
        <f>IFERROR(VLOOKUP(E328,Courses!$A:$C,3,FALSE),0)</f>
        <v/>
      </c>
      <c r="H328" s="2" t="inlineStr">
        <is>
          <t>B</t>
        </is>
      </c>
      <c r="I328" s="2" t="n">
        <v>84</v>
      </c>
      <c r="J328" s="2">
        <f>IFERROR(VLOOKUP(H328,'Grade Scale'!$A:$B,2,FALSE),0)</f>
        <v/>
      </c>
      <c r="K328" s="2">
        <f>J328*G328</f>
        <v/>
      </c>
      <c r="L328" s="2">
        <f>IF(H328="F",0,G328)</f>
        <v/>
      </c>
    </row>
    <row r="329">
      <c r="A329" s="2" t="inlineStr">
        <is>
          <t>m250303</t>
        </is>
      </c>
      <c r="B329" s="2">
        <f>IFERROR(VLOOKUP(A329,Students!$A:$B,2,FALSE),"")</f>
        <v/>
      </c>
      <c r="C329" s="2" t="inlineStr">
        <is>
          <t>Spring 2026</t>
        </is>
      </c>
      <c r="D329" s="2" t="inlineStr">
        <is>
          <t>Semester 2</t>
        </is>
      </c>
      <c r="E329" s="2" t="inlineStr">
        <is>
          <t>TGM 551</t>
        </is>
      </c>
      <c r="F329" s="2">
        <f>IFERROR(VLOOKUP(E329,Courses!$A:$C,2,FALSE),"")</f>
        <v/>
      </c>
      <c r="G329" s="2">
        <f>IFERROR(VLOOKUP(E329,Courses!$A:$C,3,FALSE),0)</f>
        <v/>
      </c>
      <c r="H329" s="2" t="inlineStr">
        <is>
          <t>A</t>
        </is>
      </c>
      <c r="I329" s="2" t="n">
        <v>93</v>
      </c>
      <c r="J329" s="2">
        <f>IFERROR(VLOOKUP(H329,'Grade Scale'!$A:$B,2,FALSE),0)</f>
        <v/>
      </c>
      <c r="K329" s="2">
        <f>J329*G329</f>
        <v/>
      </c>
      <c r="L329" s="2">
        <f>IF(H329="F",0,G329)</f>
        <v/>
      </c>
    </row>
    <row r="330">
      <c r="A330" s="2" t="inlineStr">
        <is>
          <t>m250303</t>
        </is>
      </c>
      <c r="B330" s="2">
        <f>IFERROR(VLOOKUP(A330,Students!$A:$B,2,FALSE),"")</f>
        <v/>
      </c>
      <c r="C330" s="2" t="inlineStr">
        <is>
          <t>Spring 2026</t>
        </is>
      </c>
      <c r="D330" s="2" t="inlineStr">
        <is>
          <t>Semester 2</t>
        </is>
      </c>
      <c r="E330" s="2" t="inlineStr">
        <is>
          <t>TAM 505</t>
        </is>
      </c>
      <c r="F330" s="2">
        <f>IFERROR(VLOOKUP(E330,Courses!$A:$C,2,FALSE),"")</f>
        <v/>
      </c>
      <c r="G330" s="2">
        <f>IFERROR(VLOOKUP(E330,Courses!$A:$C,3,FALSE),0)</f>
        <v/>
      </c>
      <c r="H330" s="2" t="inlineStr">
        <is>
          <t>B</t>
        </is>
      </c>
      <c r="I330" s="2" t="n">
        <v>85</v>
      </c>
      <c r="J330" s="2">
        <f>IFERROR(VLOOKUP(H330,'Grade Scale'!$A:$B,2,FALSE),0)</f>
        <v/>
      </c>
      <c r="K330" s="2">
        <f>J330*G330</f>
        <v/>
      </c>
      <c r="L330" s="2">
        <f>IF(H330="F",0,G330)</f>
        <v/>
      </c>
    </row>
    <row r="331">
      <c r="A331" s="2" t="inlineStr">
        <is>
          <t>m250303</t>
        </is>
      </c>
      <c r="B331" s="2">
        <f>IFERROR(VLOOKUP(A331,Students!$A:$B,2,FALSE),"")</f>
        <v/>
      </c>
      <c r="C331" s="2" t="inlineStr">
        <is>
          <t>Spring 2026</t>
        </is>
      </c>
      <c r="D331" s="2" t="inlineStr">
        <is>
          <t>Semester 2</t>
        </is>
      </c>
      <c r="E331" s="2" t="inlineStr">
        <is>
          <t>TGM 507</t>
        </is>
      </c>
      <c r="F331" s="2">
        <f>IFERROR(VLOOKUP(E331,Courses!$A:$C,2,FALSE),"")</f>
        <v/>
      </c>
      <c r="G331" s="2">
        <f>IFERROR(VLOOKUP(E331,Courses!$A:$C,3,FALSE),0)</f>
        <v/>
      </c>
      <c r="H331" s="2" t="inlineStr">
        <is>
          <t>B-</t>
        </is>
      </c>
      <c r="I331" s="2" t="n">
        <v>80</v>
      </c>
      <c r="J331" s="2">
        <f>IFERROR(VLOOKUP(H331,'Grade Scale'!$A:$B,2,FALSE),0)</f>
        <v/>
      </c>
      <c r="K331" s="2">
        <f>J331*G331</f>
        <v/>
      </c>
      <c r="L331" s="2">
        <f>IF(H331="F",0,G331)</f>
        <v/>
      </c>
    </row>
    <row r="332">
      <c r="A332" s="2" t="inlineStr">
        <is>
          <t>m250304</t>
        </is>
      </c>
      <c r="B332" s="2">
        <f>IFERROR(VLOOKUP(A332,Students!$A:$B,2,FALSE),"")</f>
        <v/>
      </c>
      <c r="C332" s="2" t="inlineStr">
        <is>
          <t>Fall 2025</t>
        </is>
      </c>
      <c r="D332" s="2" t="inlineStr">
        <is>
          <t>Semester 1</t>
        </is>
      </c>
      <c r="E332" s="2" t="inlineStr">
        <is>
          <t>MBA 501</t>
        </is>
      </c>
      <c r="F332" s="2">
        <f>IFERROR(VLOOKUP(E332,Courses!$A:$C,2,FALSE),"")</f>
        <v/>
      </c>
      <c r="G332" s="2">
        <f>IFERROR(VLOOKUP(E332,Courses!$A:$C,3,FALSE),0)</f>
        <v/>
      </c>
      <c r="H332" s="2" t="inlineStr">
        <is>
          <t>B+</t>
        </is>
      </c>
      <c r="I332" s="2" t="n">
        <v>89</v>
      </c>
      <c r="J332" s="2">
        <f>IFERROR(VLOOKUP(H332,'Grade Scale'!$A:$B,2,FALSE),0)</f>
        <v/>
      </c>
      <c r="K332" s="2">
        <f>J332*G332</f>
        <v/>
      </c>
      <c r="L332" s="2">
        <f>IF(H332="F",0,G332)</f>
        <v/>
      </c>
    </row>
    <row r="333">
      <c r="A333" s="2" t="inlineStr">
        <is>
          <t>m250304</t>
        </is>
      </c>
      <c r="B333" s="2">
        <f>IFERROR(VLOOKUP(A333,Students!$A:$B,2,FALSE),"")</f>
        <v/>
      </c>
      <c r="C333" s="2" t="inlineStr">
        <is>
          <t>Fall 2025</t>
        </is>
      </c>
      <c r="D333" s="2" t="inlineStr">
        <is>
          <t>Semester 1</t>
        </is>
      </c>
      <c r="E333" s="2" t="inlineStr">
        <is>
          <t>MBA 510</t>
        </is>
      </c>
      <c r="F333" s="2">
        <f>IFERROR(VLOOKUP(E333,Courses!$A:$C,2,FALSE),"")</f>
        <v/>
      </c>
      <c r="G333" s="2">
        <f>IFERROR(VLOOKUP(E333,Courses!$A:$C,3,FALSE),0)</f>
        <v/>
      </c>
      <c r="H333" s="2" t="inlineStr">
        <is>
          <t>B+</t>
        </is>
      </c>
      <c r="I333" s="2" t="n">
        <v>88</v>
      </c>
      <c r="J333" s="2">
        <f>IFERROR(VLOOKUP(H333,'Grade Scale'!$A:$B,2,FALSE),0)</f>
        <v/>
      </c>
      <c r="K333" s="2">
        <f>J333*G333</f>
        <v/>
      </c>
      <c r="L333" s="2">
        <f>IF(H333="F",0,G333)</f>
        <v/>
      </c>
    </row>
    <row r="334">
      <c r="A334" s="2" t="inlineStr">
        <is>
          <t>m250304</t>
        </is>
      </c>
      <c r="B334" s="2">
        <f>IFERROR(VLOOKUP(A334,Students!$A:$B,2,FALSE),"")</f>
        <v/>
      </c>
      <c r="C334" s="2" t="inlineStr">
        <is>
          <t>Fall 2025</t>
        </is>
      </c>
      <c r="D334" s="2" t="inlineStr">
        <is>
          <t>Semester 1</t>
        </is>
      </c>
      <c r="E334" s="2" t="inlineStr">
        <is>
          <t>MBA 520</t>
        </is>
      </c>
      <c r="F334" s="2">
        <f>IFERROR(VLOOKUP(E334,Courses!$A:$C,2,FALSE),"")</f>
        <v/>
      </c>
      <c r="G334" s="2">
        <f>IFERROR(VLOOKUP(E334,Courses!$A:$C,3,FALSE),0)</f>
        <v/>
      </c>
      <c r="H334" s="2" t="inlineStr">
        <is>
          <t>A</t>
        </is>
      </c>
      <c r="I334" s="2" t="n">
        <v>96</v>
      </c>
      <c r="J334" s="2">
        <f>IFERROR(VLOOKUP(H334,'Grade Scale'!$A:$B,2,FALSE),0)</f>
        <v/>
      </c>
      <c r="K334" s="2">
        <f>J334*G334</f>
        <v/>
      </c>
      <c r="L334" s="2">
        <f>IF(H334="F",0,G334)</f>
        <v/>
      </c>
    </row>
    <row r="335">
      <c r="A335" s="2" t="inlineStr">
        <is>
          <t>m250304</t>
        </is>
      </c>
      <c r="B335" s="2">
        <f>IFERROR(VLOOKUP(A335,Students!$A:$B,2,FALSE),"")</f>
        <v/>
      </c>
      <c r="C335" s="2" t="inlineStr">
        <is>
          <t>Fall 2025</t>
        </is>
      </c>
      <c r="D335" s="2" t="inlineStr">
        <is>
          <t>Semester 1</t>
        </is>
      </c>
      <c r="E335" s="2" t="inlineStr">
        <is>
          <t>MBA 530</t>
        </is>
      </c>
      <c r="F335" s="2">
        <f>IFERROR(VLOOKUP(E335,Courses!$A:$C,2,FALSE),"")</f>
        <v/>
      </c>
      <c r="G335" s="2">
        <f>IFERROR(VLOOKUP(E335,Courses!$A:$C,3,FALSE),0)</f>
        <v/>
      </c>
      <c r="H335" s="2" t="inlineStr">
        <is>
          <t>B+</t>
        </is>
      </c>
      <c r="I335" s="2" t="n">
        <v>88</v>
      </c>
      <c r="J335" s="2">
        <f>IFERROR(VLOOKUP(H335,'Grade Scale'!$A:$B,2,FALSE),0)</f>
        <v/>
      </c>
      <c r="K335" s="2">
        <f>J335*G335</f>
        <v/>
      </c>
      <c r="L335" s="2">
        <f>IF(H335="F",0,G335)</f>
        <v/>
      </c>
    </row>
    <row r="336">
      <c r="A336" s="2" t="inlineStr">
        <is>
          <t>m250304</t>
        </is>
      </c>
      <c r="B336" s="2">
        <f>IFERROR(VLOOKUP(A336,Students!$A:$B,2,FALSE),"")</f>
        <v/>
      </c>
      <c r="C336" s="2" t="inlineStr">
        <is>
          <t>Fall 2025</t>
        </is>
      </c>
      <c r="D336" s="2" t="inlineStr">
        <is>
          <t>Semester 1</t>
        </is>
      </c>
      <c r="E336" s="2" t="inlineStr">
        <is>
          <t>MBA 540</t>
        </is>
      </c>
      <c r="F336" s="2">
        <f>IFERROR(VLOOKUP(E336,Courses!$A:$C,2,FALSE),"")</f>
        <v/>
      </c>
      <c r="G336" s="2">
        <f>IFERROR(VLOOKUP(E336,Courses!$A:$C,3,FALSE),0)</f>
        <v/>
      </c>
      <c r="H336" s="2" t="inlineStr">
        <is>
          <t>A</t>
        </is>
      </c>
      <c r="I336" s="2" t="n">
        <v>98</v>
      </c>
      <c r="J336" s="2">
        <f>IFERROR(VLOOKUP(H336,'Grade Scale'!$A:$B,2,FALSE),0)</f>
        <v/>
      </c>
      <c r="K336" s="2">
        <f>J336*G336</f>
        <v/>
      </c>
      <c r="L336" s="2">
        <f>IF(H336="F",0,G336)</f>
        <v/>
      </c>
    </row>
    <row r="337">
      <c r="A337" s="2" t="inlineStr">
        <is>
          <t>m250304</t>
        </is>
      </c>
      <c r="B337" s="2">
        <f>IFERROR(VLOOKUP(A337,Students!$A:$B,2,FALSE),"")</f>
        <v/>
      </c>
      <c r="C337" s="2" t="inlineStr">
        <is>
          <t>Spring 2026</t>
        </is>
      </c>
      <c r="D337" s="2" t="inlineStr">
        <is>
          <t>Semester 2</t>
        </is>
      </c>
      <c r="E337" s="2" t="inlineStr">
        <is>
          <t>MBA 550</t>
        </is>
      </c>
      <c r="F337" s="2">
        <f>IFERROR(VLOOKUP(E337,Courses!$A:$C,2,FALSE),"")</f>
        <v/>
      </c>
      <c r="G337" s="2">
        <f>IFERROR(VLOOKUP(E337,Courses!$A:$C,3,FALSE),0)</f>
        <v/>
      </c>
      <c r="H337" s="2" t="inlineStr">
        <is>
          <t>B+</t>
        </is>
      </c>
      <c r="I337" s="2" t="n">
        <v>87</v>
      </c>
      <c r="J337" s="2">
        <f>IFERROR(VLOOKUP(H337,'Grade Scale'!$A:$B,2,FALSE),0)</f>
        <v/>
      </c>
      <c r="K337" s="2">
        <f>J337*G337</f>
        <v/>
      </c>
      <c r="L337" s="2">
        <f>IF(H337="F",0,G337)</f>
        <v/>
      </c>
    </row>
    <row r="338">
      <c r="A338" s="2" t="inlineStr">
        <is>
          <t>m250304</t>
        </is>
      </c>
      <c r="B338" s="2">
        <f>IFERROR(VLOOKUP(A338,Students!$A:$B,2,FALSE),"")</f>
        <v/>
      </c>
      <c r="C338" s="2" t="inlineStr">
        <is>
          <t>Spring 2026</t>
        </is>
      </c>
      <c r="D338" s="2" t="inlineStr">
        <is>
          <t>Semester 2</t>
        </is>
      </c>
      <c r="E338" s="2" t="inlineStr">
        <is>
          <t>MBA 560</t>
        </is>
      </c>
      <c r="F338" s="2">
        <f>IFERROR(VLOOKUP(E338,Courses!$A:$C,2,FALSE),"")</f>
        <v/>
      </c>
      <c r="G338" s="2">
        <f>IFERROR(VLOOKUP(E338,Courses!$A:$C,3,FALSE),0)</f>
        <v/>
      </c>
      <c r="H338" s="2" t="inlineStr">
        <is>
          <t>A</t>
        </is>
      </c>
      <c r="I338" s="2" t="n">
        <v>98</v>
      </c>
      <c r="J338" s="2">
        <f>IFERROR(VLOOKUP(H338,'Grade Scale'!$A:$B,2,FALSE),0)</f>
        <v/>
      </c>
      <c r="K338" s="2">
        <f>J338*G338</f>
        <v/>
      </c>
      <c r="L338" s="2">
        <f>IF(H338="F",0,G338)</f>
        <v/>
      </c>
    </row>
    <row r="339">
      <c r="A339" s="2" t="inlineStr">
        <is>
          <t>m250304</t>
        </is>
      </c>
      <c r="B339" s="2">
        <f>IFERROR(VLOOKUP(A339,Students!$A:$B,2,FALSE),"")</f>
        <v/>
      </c>
      <c r="C339" s="2" t="inlineStr">
        <is>
          <t>Spring 2026</t>
        </is>
      </c>
      <c r="D339" s="2" t="inlineStr">
        <is>
          <t>Semester 2</t>
        </is>
      </c>
      <c r="E339" s="2" t="inlineStr">
        <is>
          <t>MBA 570</t>
        </is>
      </c>
      <c r="F339" s="2">
        <f>IFERROR(VLOOKUP(E339,Courses!$A:$C,2,FALSE),"")</f>
        <v/>
      </c>
      <c r="G339" s="2">
        <f>IFERROR(VLOOKUP(E339,Courses!$A:$C,3,FALSE),0)</f>
        <v/>
      </c>
      <c r="H339" s="2" t="inlineStr">
        <is>
          <t>C+</t>
        </is>
      </c>
      <c r="I339" s="2" t="n">
        <v>79</v>
      </c>
      <c r="J339" s="2">
        <f>IFERROR(VLOOKUP(H339,'Grade Scale'!$A:$B,2,FALSE),0)</f>
        <v/>
      </c>
      <c r="K339" s="2">
        <f>J339*G339</f>
        <v/>
      </c>
      <c r="L339" s="2">
        <f>IF(H339="F",0,G339)</f>
        <v/>
      </c>
    </row>
    <row r="340">
      <c r="A340" s="2" t="inlineStr">
        <is>
          <t>m250304</t>
        </is>
      </c>
      <c r="B340" s="2">
        <f>IFERROR(VLOOKUP(A340,Students!$A:$B,2,FALSE),"")</f>
        <v/>
      </c>
      <c r="C340" s="2" t="inlineStr">
        <is>
          <t>Spring 2026</t>
        </is>
      </c>
      <c r="D340" s="2" t="inlineStr">
        <is>
          <t>Semester 2</t>
        </is>
      </c>
      <c r="E340" s="2" t="inlineStr">
        <is>
          <t>MBA 580</t>
        </is>
      </c>
      <c r="F340" s="2">
        <f>IFERROR(VLOOKUP(E340,Courses!$A:$C,2,FALSE),"")</f>
        <v/>
      </c>
      <c r="G340" s="2">
        <f>IFERROR(VLOOKUP(E340,Courses!$A:$C,3,FALSE),0)</f>
        <v/>
      </c>
      <c r="H340" s="2" t="inlineStr">
        <is>
          <t>A</t>
        </is>
      </c>
      <c r="I340" s="2" t="n">
        <v>94</v>
      </c>
      <c r="J340" s="2">
        <f>IFERROR(VLOOKUP(H340,'Grade Scale'!$A:$B,2,FALSE),0)</f>
        <v/>
      </c>
      <c r="K340" s="2">
        <f>J340*G340</f>
        <v/>
      </c>
      <c r="L340" s="2">
        <f>IF(H340="F",0,G340)</f>
        <v/>
      </c>
    </row>
    <row r="341">
      <c r="A341" s="2" t="inlineStr">
        <is>
          <t>m250304</t>
        </is>
      </c>
      <c r="B341" s="2">
        <f>IFERROR(VLOOKUP(A341,Students!$A:$B,2,FALSE),"")</f>
        <v/>
      </c>
      <c r="C341" s="2" t="inlineStr">
        <is>
          <t>Spring 2026</t>
        </is>
      </c>
      <c r="D341" s="2" t="inlineStr">
        <is>
          <t>Semester 2</t>
        </is>
      </c>
      <c r="E341" s="2" t="inlineStr">
        <is>
          <t>MBA 590</t>
        </is>
      </c>
      <c r="F341" s="2">
        <f>IFERROR(VLOOKUP(E341,Courses!$A:$C,2,FALSE),"")</f>
        <v/>
      </c>
      <c r="G341" s="2">
        <f>IFERROR(VLOOKUP(E341,Courses!$A:$C,3,FALSE),0)</f>
        <v/>
      </c>
      <c r="H341" s="2" t="inlineStr">
        <is>
          <t>B</t>
        </is>
      </c>
      <c r="I341" s="2" t="n">
        <v>86</v>
      </c>
      <c r="J341" s="2">
        <f>IFERROR(VLOOKUP(H341,'Grade Scale'!$A:$B,2,FALSE),0)</f>
        <v/>
      </c>
      <c r="K341" s="2">
        <f>J341*G341</f>
        <v/>
      </c>
      <c r="L341" s="2">
        <f>IF(H341="F",0,G341)</f>
        <v/>
      </c>
    </row>
    <row r="342">
      <c r="A342" s="2" t="inlineStr">
        <is>
          <t>m250305</t>
        </is>
      </c>
      <c r="B342" s="2">
        <f>IFERROR(VLOOKUP(A342,Students!$A:$B,2,FALSE),"")</f>
        <v/>
      </c>
      <c r="C342" s="2" t="inlineStr">
        <is>
          <t>Fall 2025</t>
        </is>
      </c>
      <c r="D342" s="2" t="inlineStr">
        <is>
          <t>Semester 1</t>
        </is>
      </c>
      <c r="E342" s="2" t="inlineStr">
        <is>
          <t>DSC 501</t>
        </is>
      </c>
      <c r="F342" s="2">
        <f>IFERROR(VLOOKUP(E342,Courses!$A:$C,2,FALSE),"")</f>
        <v/>
      </c>
      <c r="G342" s="2">
        <f>IFERROR(VLOOKUP(E342,Courses!$A:$C,3,FALSE),0)</f>
        <v/>
      </c>
      <c r="H342" s="2" t="inlineStr">
        <is>
          <t>A-</t>
        </is>
      </c>
      <c r="I342" s="2" t="n">
        <v>91</v>
      </c>
      <c r="J342" s="2">
        <f>IFERROR(VLOOKUP(H342,'Grade Scale'!$A:$B,2,FALSE),0)</f>
        <v/>
      </c>
      <c r="K342" s="2">
        <f>J342*G342</f>
        <v/>
      </c>
      <c r="L342" s="2">
        <f>IF(H342="F",0,G342)</f>
        <v/>
      </c>
    </row>
    <row r="343">
      <c r="A343" s="2" t="inlineStr">
        <is>
          <t>m250305</t>
        </is>
      </c>
      <c r="B343" s="2">
        <f>IFERROR(VLOOKUP(A343,Students!$A:$B,2,FALSE),"")</f>
        <v/>
      </c>
      <c r="C343" s="2" t="inlineStr">
        <is>
          <t>Fall 2025</t>
        </is>
      </c>
      <c r="D343" s="2" t="inlineStr">
        <is>
          <t>Semester 1</t>
        </is>
      </c>
      <c r="E343" s="2" t="inlineStr">
        <is>
          <t>DSC 510</t>
        </is>
      </c>
      <c r="F343" s="2">
        <f>IFERROR(VLOOKUP(E343,Courses!$A:$C,2,FALSE),"")</f>
        <v/>
      </c>
      <c r="G343" s="2">
        <f>IFERROR(VLOOKUP(E343,Courses!$A:$C,3,FALSE),0)</f>
        <v/>
      </c>
      <c r="H343" s="2" t="inlineStr">
        <is>
          <t>C</t>
        </is>
      </c>
      <c r="I343" s="2" t="n">
        <v>74</v>
      </c>
      <c r="J343" s="2">
        <f>IFERROR(VLOOKUP(H343,'Grade Scale'!$A:$B,2,FALSE),0)</f>
        <v/>
      </c>
      <c r="K343" s="2">
        <f>J343*G343</f>
        <v/>
      </c>
      <c r="L343" s="2">
        <f>IF(H343="F",0,G343)</f>
        <v/>
      </c>
    </row>
    <row r="344">
      <c r="A344" s="2" t="inlineStr">
        <is>
          <t>m250305</t>
        </is>
      </c>
      <c r="B344" s="2">
        <f>IFERROR(VLOOKUP(A344,Students!$A:$B,2,FALSE),"")</f>
        <v/>
      </c>
      <c r="C344" s="2" t="inlineStr">
        <is>
          <t>Fall 2025</t>
        </is>
      </c>
      <c r="D344" s="2" t="inlineStr">
        <is>
          <t>Semester 1</t>
        </is>
      </c>
      <c r="E344" s="2" t="inlineStr">
        <is>
          <t>DSC 520</t>
        </is>
      </c>
      <c r="F344" s="2">
        <f>IFERROR(VLOOKUP(E344,Courses!$A:$C,2,FALSE),"")</f>
        <v/>
      </c>
      <c r="G344" s="2">
        <f>IFERROR(VLOOKUP(E344,Courses!$A:$C,3,FALSE),0)</f>
        <v/>
      </c>
      <c r="H344" s="2" t="inlineStr">
        <is>
          <t>C+</t>
        </is>
      </c>
      <c r="I344" s="2" t="n">
        <v>77</v>
      </c>
      <c r="J344" s="2">
        <f>IFERROR(VLOOKUP(H344,'Grade Scale'!$A:$B,2,FALSE),0)</f>
        <v/>
      </c>
      <c r="K344" s="2">
        <f>J344*G344</f>
        <v/>
      </c>
      <c r="L344" s="2">
        <f>IF(H344="F",0,G344)</f>
        <v/>
      </c>
    </row>
    <row r="345">
      <c r="A345" s="2" t="inlineStr">
        <is>
          <t>m250305</t>
        </is>
      </c>
      <c r="B345" s="2">
        <f>IFERROR(VLOOKUP(A345,Students!$A:$B,2,FALSE),"")</f>
        <v/>
      </c>
      <c r="C345" s="2" t="inlineStr">
        <is>
          <t>Fall 2025</t>
        </is>
      </c>
      <c r="D345" s="2" t="inlineStr">
        <is>
          <t>Semester 1</t>
        </is>
      </c>
      <c r="E345" s="2" t="inlineStr">
        <is>
          <t>DSC 530</t>
        </is>
      </c>
      <c r="F345" s="2">
        <f>IFERROR(VLOOKUP(E345,Courses!$A:$C,2,FALSE),"")</f>
        <v/>
      </c>
      <c r="G345" s="2">
        <f>IFERROR(VLOOKUP(E345,Courses!$A:$C,3,FALSE),0)</f>
        <v/>
      </c>
      <c r="H345" s="2" t="inlineStr">
        <is>
          <t>B+</t>
        </is>
      </c>
      <c r="I345" s="2" t="n">
        <v>87</v>
      </c>
      <c r="J345" s="2">
        <f>IFERROR(VLOOKUP(H345,'Grade Scale'!$A:$B,2,FALSE),0)</f>
        <v/>
      </c>
      <c r="K345" s="2">
        <f>J345*G345</f>
        <v/>
      </c>
      <c r="L345" s="2">
        <f>IF(H345="F",0,G345)</f>
        <v/>
      </c>
    </row>
    <row r="346">
      <c r="A346" s="2" t="inlineStr">
        <is>
          <t>m250305</t>
        </is>
      </c>
      <c r="B346" s="2">
        <f>IFERROR(VLOOKUP(A346,Students!$A:$B,2,FALSE),"")</f>
        <v/>
      </c>
      <c r="C346" s="2" t="inlineStr">
        <is>
          <t>Fall 2025</t>
        </is>
      </c>
      <c r="D346" s="2" t="inlineStr">
        <is>
          <t>Semester 1</t>
        </is>
      </c>
      <c r="E346" s="2" t="inlineStr">
        <is>
          <t>DSC 540</t>
        </is>
      </c>
      <c r="F346" s="2">
        <f>IFERROR(VLOOKUP(E346,Courses!$A:$C,2,FALSE),"")</f>
        <v/>
      </c>
      <c r="G346" s="2">
        <f>IFERROR(VLOOKUP(E346,Courses!$A:$C,3,FALSE),0)</f>
        <v/>
      </c>
      <c r="H346" s="2" t="inlineStr">
        <is>
          <t>C</t>
        </is>
      </c>
      <c r="I346" s="2" t="n">
        <v>74</v>
      </c>
      <c r="J346" s="2">
        <f>IFERROR(VLOOKUP(H346,'Grade Scale'!$A:$B,2,FALSE),0)</f>
        <v/>
      </c>
      <c r="K346" s="2">
        <f>J346*G346</f>
        <v/>
      </c>
      <c r="L346" s="2">
        <f>IF(H346="F",0,G346)</f>
        <v/>
      </c>
    </row>
    <row r="347">
      <c r="A347" s="2" t="inlineStr">
        <is>
          <t>m250305</t>
        </is>
      </c>
      <c r="B347" s="2">
        <f>IFERROR(VLOOKUP(A347,Students!$A:$B,2,FALSE),"")</f>
        <v/>
      </c>
      <c r="C347" s="2" t="inlineStr">
        <is>
          <t>Spring 2026</t>
        </is>
      </c>
      <c r="D347" s="2" t="inlineStr">
        <is>
          <t>Semester 2</t>
        </is>
      </c>
      <c r="E347" s="2" t="inlineStr">
        <is>
          <t>DSC 550</t>
        </is>
      </c>
      <c r="F347" s="2">
        <f>IFERROR(VLOOKUP(E347,Courses!$A:$C,2,FALSE),"")</f>
        <v/>
      </c>
      <c r="G347" s="2">
        <f>IFERROR(VLOOKUP(E347,Courses!$A:$C,3,FALSE),0)</f>
        <v/>
      </c>
      <c r="H347" s="2" t="inlineStr">
        <is>
          <t>C+</t>
        </is>
      </c>
      <c r="I347" s="2" t="n">
        <v>79</v>
      </c>
      <c r="J347" s="2">
        <f>IFERROR(VLOOKUP(H347,'Grade Scale'!$A:$B,2,FALSE),0)</f>
        <v/>
      </c>
      <c r="K347" s="2">
        <f>J347*G347</f>
        <v/>
      </c>
      <c r="L347" s="2">
        <f>IF(H347="F",0,G347)</f>
        <v/>
      </c>
    </row>
    <row r="348">
      <c r="A348" s="2" t="inlineStr">
        <is>
          <t>m250305</t>
        </is>
      </c>
      <c r="B348" s="2">
        <f>IFERROR(VLOOKUP(A348,Students!$A:$B,2,FALSE),"")</f>
        <v/>
      </c>
      <c r="C348" s="2" t="inlineStr">
        <is>
          <t>Spring 2026</t>
        </is>
      </c>
      <c r="D348" s="2" t="inlineStr">
        <is>
          <t>Semester 2</t>
        </is>
      </c>
      <c r="E348" s="2" t="inlineStr">
        <is>
          <t>DSC 560</t>
        </is>
      </c>
      <c r="F348" s="2">
        <f>IFERROR(VLOOKUP(E348,Courses!$A:$C,2,FALSE),"")</f>
        <v/>
      </c>
      <c r="G348" s="2">
        <f>IFERROR(VLOOKUP(E348,Courses!$A:$C,3,FALSE),0)</f>
        <v/>
      </c>
      <c r="H348" s="2" t="inlineStr">
        <is>
          <t>C-</t>
        </is>
      </c>
      <c r="I348" s="2" t="n">
        <v>71</v>
      </c>
      <c r="J348" s="2">
        <f>IFERROR(VLOOKUP(H348,'Grade Scale'!$A:$B,2,FALSE),0)</f>
        <v/>
      </c>
      <c r="K348" s="2">
        <f>J348*G348</f>
        <v/>
      </c>
      <c r="L348" s="2">
        <f>IF(H348="F",0,G348)</f>
        <v/>
      </c>
    </row>
    <row r="349">
      <c r="A349" s="2" t="inlineStr">
        <is>
          <t>m250305</t>
        </is>
      </c>
      <c r="B349" s="2">
        <f>IFERROR(VLOOKUP(A349,Students!$A:$B,2,FALSE),"")</f>
        <v/>
      </c>
      <c r="C349" s="2" t="inlineStr">
        <is>
          <t>Spring 2026</t>
        </is>
      </c>
      <c r="D349" s="2" t="inlineStr">
        <is>
          <t>Semester 2</t>
        </is>
      </c>
      <c r="E349" s="2" t="inlineStr">
        <is>
          <t>DSC 570</t>
        </is>
      </c>
      <c r="F349" s="2">
        <f>IFERROR(VLOOKUP(E349,Courses!$A:$C,2,FALSE),"")</f>
        <v/>
      </c>
      <c r="G349" s="2">
        <f>IFERROR(VLOOKUP(E349,Courses!$A:$C,3,FALSE),0)</f>
        <v/>
      </c>
      <c r="H349" s="2" t="inlineStr">
        <is>
          <t>B</t>
        </is>
      </c>
      <c r="I349" s="2" t="n">
        <v>83</v>
      </c>
      <c r="J349" s="2">
        <f>IFERROR(VLOOKUP(H349,'Grade Scale'!$A:$B,2,FALSE),0)</f>
        <v/>
      </c>
      <c r="K349" s="2">
        <f>J349*G349</f>
        <v/>
      </c>
      <c r="L349" s="2">
        <f>IF(H349="F",0,G349)</f>
        <v/>
      </c>
    </row>
    <row r="350">
      <c r="A350" s="2" t="inlineStr">
        <is>
          <t>m250305</t>
        </is>
      </c>
      <c r="B350" s="2">
        <f>IFERROR(VLOOKUP(A350,Students!$A:$B,2,FALSE),"")</f>
        <v/>
      </c>
      <c r="C350" s="2" t="inlineStr">
        <is>
          <t>Spring 2026</t>
        </is>
      </c>
      <c r="D350" s="2" t="inlineStr">
        <is>
          <t>Semester 2</t>
        </is>
      </c>
      <c r="E350" s="2" t="inlineStr">
        <is>
          <t>DSC 580</t>
        </is>
      </c>
      <c r="F350" s="2">
        <f>IFERROR(VLOOKUP(E350,Courses!$A:$C,2,FALSE),"")</f>
        <v/>
      </c>
      <c r="G350" s="2">
        <f>IFERROR(VLOOKUP(E350,Courses!$A:$C,3,FALSE),0)</f>
        <v/>
      </c>
      <c r="H350" s="2" t="inlineStr">
        <is>
          <t>C-</t>
        </is>
      </c>
      <c r="I350" s="2" t="n">
        <v>70</v>
      </c>
      <c r="J350" s="2">
        <f>IFERROR(VLOOKUP(H350,'Grade Scale'!$A:$B,2,FALSE),0)</f>
        <v/>
      </c>
      <c r="K350" s="2">
        <f>J350*G350</f>
        <v/>
      </c>
      <c r="L350" s="2">
        <f>IF(H350="F",0,G350)</f>
        <v/>
      </c>
    </row>
    <row r="351">
      <c r="A351" s="2" t="inlineStr">
        <is>
          <t>m250305</t>
        </is>
      </c>
      <c r="B351" s="2">
        <f>IFERROR(VLOOKUP(A351,Students!$A:$B,2,FALSE),"")</f>
        <v/>
      </c>
      <c r="C351" s="2" t="inlineStr">
        <is>
          <t>Spring 2026</t>
        </is>
      </c>
      <c r="D351" s="2" t="inlineStr">
        <is>
          <t>Semester 2</t>
        </is>
      </c>
      <c r="E351" s="2" t="inlineStr">
        <is>
          <t>DSC 590</t>
        </is>
      </c>
      <c r="F351" s="2">
        <f>IFERROR(VLOOKUP(E351,Courses!$A:$C,2,FALSE),"")</f>
        <v/>
      </c>
      <c r="G351" s="2">
        <f>IFERROR(VLOOKUP(E351,Courses!$A:$C,3,FALSE),0)</f>
        <v/>
      </c>
      <c r="H351" s="2" t="inlineStr">
        <is>
          <t>C</t>
        </is>
      </c>
      <c r="I351" s="2" t="n">
        <v>74</v>
      </c>
      <c r="J351" s="2">
        <f>IFERROR(VLOOKUP(H351,'Grade Scale'!$A:$B,2,FALSE),0)</f>
        <v/>
      </c>
      <c r="K351" s="2">
        <f>J351*G351</f>
        <v/>
      </c>
      <c r="L351" s="2">
        <f>IF(H351="F",0,G351)</f>
        <v/>
      </c>
    </row>
    <row r="352">
      <c r="A352" s="2" t="inlineStr">
        <is>
          <t>m250306</t>
        </is>
      </c>
      <c r="B352" s="2">
        <f>IFERROR(VLOOKUP(A352,Students!$A:$B,2,FALSE),"")</f>
        <v/>
      </c>
      <c r="C352" s="2" t="inlineStr">
        <is>
          <t>Fall 2025</t>
        </is>
      </c>
      <c r="D352" s="2" t="inlineStr">
        <is>
          <t>Semester 1</t>
        </is>
      </c>
      <c r="E352" s="2" t="inlineStr">
        <is>
          <t>CIV 101</t>
        </is>
      </c>
      <c r="F352" s="2">
        <f>IFERROR(VLOOKUP(E352,Courses!$A:$C,2,FALSE),"")</f>
        <v/>
      </c>
      <c r="G352" s="2">
        <f>IFERROR(VLOOKUP(E352,Courses!$A:$C,3,FALSE),0)</f>
        <v/>
      </c>
      <c r="H352" s="2" t="inlineStr">
        <is>
          <t>B+</t>
        </is>
      </c>
      <c r="I352" s="2" t="n">
        <v>88</v>
      </c>
      <c r="J352" s="2">
        <f>IFERROR(VLOOKUP(H352,'Grade Scale'!$A:$B,2,FALSE),0)</f>
        <v/>
      </c>
      <c r="K352" s="2">
        <f>J352*G352</f>
        <v/>
      </c>
      <c r="L352" s="2">
        <f>IF(H352="F",0,G352)</f>
        <v/>
      </c>
    </row>
    <row r="353">
      <c r="A353" s="2" t="inlineStr">
        <is>
          <t>m250306</t>
        </is>
      </c>
      <c r="B353" s="2">
        <f>IFERROR(VLOOKUP(A353,Students!$A:$B,2,FALSE),"")</f>
        <v/>
      </c>
      <c r="C353" s="2" t="inlineStr">
        <is>
          <t>Fall 2025</t>
        </is>
      </c>
      <c r="D353" s="2" t="inlineStr">
        <is>
          <t>Semester 1</t>
        </is>
      </c>
      <c r="E353" s="2" t="inlineStr">
        <is>
          <t>MTH 120</t>
        </is>
      </c>
      <c r="F353" s="2">
        <f>IFERROR(VLOOKUP(E353,Courses!$A:$C,2,FALSE),"")</f>
        <v/>
      </c>
      <c r="G353" s="2">
        <f>IFERROR(VLOOKUP(E353,Courses!$A:$C,3,FALSE),0)</f>
        <v/>
      </c>
      <c r="H353" s="2" t="inlineStr">
        <is>
          <t>C+</t>
        </is>
      </c>
      <c r="I353" s="2" t="n">
        <v>78</v>
      </c>
      <c r="J353" s="2">
        <f>IFERROR(VLOOKUP(H353,'Grade Scale'!$A:$B,2,FALSE),0)</f>
        <v/>
      </c>
      <c r="K353" s="2">
        <f>J353*G353</f>
        <v/>
      </c>
      <c r="L353" s="2">
        <f>IF(H353="F",0,G353)</f>
        <v/>
      </c>
    </row>
    <row r="354">
      <c r="A354" s="2" t="inlineStr">
        <is>
          <t>m250306</t>
        </is>
      </c>
      <c r="B354" s="2">
        <f>IFERROR(VLOOKUP(A354,Students!$A:$B,2,FALSE),"")</f>
        <v/>
      </c>
      <c r="C354" s="2" t="inlineStr">
        <is>
          <t>Fall 2025</t>
        </is>
      </c>
      <c r="D354" s="2" t="inlineStr">
        <is>
          <t>Semester 1</t>
        </is>
      </c>
      <c r="E354" s="2" t="inlineStr">
        <is>
          <t>PHY 101</t>
        </is>
      </c>
      <c r="F354" s="2">
        <f>IFERROR(VLOOKUP(E354,Courses!$A:$C,2,FALSE),"")</f>
        <v/>
      </c>
      <c r="G354" s="2">
        <f>IFERROR(VLOOKUP(E354,Courses!$A:$C,3,FALSE),0)</f>
        <v/>
      </c>
      <c r="H354" s="2" t="inlineStr">
        <is>
          <t>B+</t>
        </is>
      </c>
      <c r="I354" s="2" t="n">
        <v>89</v>
      </c>
      <c r="J354" s="2">
        <f>IFERROR(VLOOKUP(H354,'Grade Scale'!$A:$B,2,FALSE),0)</f>
        <v/>
      </c>
      <c r="K354" s="2">
        <f>J354*G354</f>
        <v/>
      </c>
      <c r="L354" s="2">
        <f>IF(H354="F",0,G354)</f>
        <v/>
      </c>
    </row>
    <row r="355">
      <c r="A355" s="2" t="inlineStr">
        <is>
          <t>m250306</t>
        </is>
      </c>
      <c r="B355" s="2">
        <f>IFERROR(VLOOKUP(A355,Students!$A:$B,2,FALSE),"")</f>
        <v/>
      </c>
      <c r="C355" s="2" t="inlineStr">
        <is>
          <t>Fall 2025</t>
        </is>
      </c>
      <c r="D355" s="2" t="inlineStr">
        <is>
          <t>Semester 1</t>
        </is>
      </c>
      <c r="E355" s="2" t="inlineStr">
        <is>
          <t>ENG 101</t>
        </is>
      </c>
      <c r="F355" s="2">
        <f>IFERROR(VLOOKUP(E355,Courses!$A:$C,2,FALSE),"")</f>
        <v/>
      </c>
      <c r="G355" s="2">
        <f>IFERROR(VLOOKUP(E355,Courses!$A:$C,3,FALSE),0)</f>
        <v/>
      </c>
      <c r="H355" s="2" t="inlineStr">
        <is>
          <t>A</t>
        </is>
      </c>
      <c r="I355" s="2" t="n">
        <v>94</v>
      </c>
      <c r="J355" s="2">
        <f>IFERROR(VLOOKUP(H355,'Grade Scale'!$A:$B,2,FALSE),0)</f>
        <v/>
      </c>
      <c r="K355" s="2">
        <f>J355*G355</f>
        <v/>
      </c>
      <c r="L355" s="2">
        <f>IF(H355="F",0,G355)</f>
        <v/>
      </c>
    </row>
    <row r="356">
      <c r="A356" s="2" t="inlineStr">
        <is>
          <t>m250306</t>
        </is>
      </c>
      <c r="B356" s="2">
        <f>IFERROR(VLOOKUP(A356,Students!$A:$B,2,FALSE),"")</f>
        <v/>
      </c>
      <c r="C356" s="2" t="inlineStr">
        <is>
          <t>Fall 2025</t>
        </is>
      </c>
      <c r="D356" s="2" t="inlineStr">
        <is>
          <t>Semester 1</t>
        </is>
      </c>
      <c r="E356" s="2" t="inlineStr">
        <is>
          <t>CHM 101</t>
        </is>
      </c>
      <c r="F356" s="2">
        <f>IFERROR(VLOOKUP(E356,Courses!$A:$C,2,FALSE),"")</f>
        <v/>
      </c>
      <c r="G356" s="2">
        <f>IFERROR(VLOOKUP(E356,Courses!$A:$C,3,FALSE),0)</f>
        <v/>
      </c>
      <c r="H356" s="2" t="inlineStr">
        <is>
          <t>A</t>
        </is>
      </c>
      <c r="I356" s="2" t="n">
        <v>93</v>
      </c>
      <c r="J356" s="2">
        <f>IFERROR(VLOOKUP(H356,'Grade Scale'!$A:$B,2,FALSE),0)</f>
        <v/>
      </c>
      <c r="K356" s="2">
        <f>J356*G356</f>
        <v/>
      </c>
      <c r="L356" s="2">
        <f>IF(H356="F",0,G356)</f>
        <v/>
      </c>
    </row>
    <row r="357">
      <c r="A357" s="2" t="inlineStr">
        <is>
          <t>m250306</t>
        </is>
      </c>
      <c r="B357" s="2">
        <f>IFERROR(VLOOKUP(A357,Students!$A:$B,2,FALSE),"")</f>
        <v/>
      </c>
      <c r="C357" s="2" t="inlineStr">
        <is>
          <t>Spring 2026</t>
        </is>
      </c>
      <c r="D357" s="2" t="inlineStr">
        <is>
          <t>Semester 2</t>
        </is>
      </c>
      <c r="E357" s="2" t="inlineStr">
        <is>
          <t>CIV 150</t>
        </is>
      </c>
      <c r="F357" s="2">
        <f>IFERROR(VLOOKUP(E357,Courses!$A:$C,2,FALSE),"")</f>
        <v/>
      </c>
      <c r="G357" s="2">
        <f>IFERROR(VLOOKUP(E357,Courses!$A:$C,3,FALSE),0)</f>
        <v/>
      </c>
      <c r="H357" s="2" t="inlineStr">
        <is>
          <t>A</t>
        </is>
      </c>
      <c r="I357" s="2" t="n">
        <v>96</v>
      </c>
      <c r="J357" s="2">
        <f>IFERROR(VLOOKUP(H357,'Grade Scale'!$A:$B,2,FALSE),0)</f>
        <v/>
      </c>
      <c r="K357" s="2">
        <f>J357*G357</f>
        <v/>
      </c>
      <c r="L357" s="2">
        <f>IF(H357="F",0,G357)</f>
        <v/>
      </c>
    </row>
    <row r="358">
      <c r="A358" s="2" t="inlineStr">
        <is>
          <t>m250306</t>
        </is>
      </c>
      <c r="B358" s="2">
        <f>IFERROR(VLOOKUP(A358,Students!$A:$B,2,FALSE),"")</f>
        <v/>
      </c>
      <c r="C358" s="2" t="inlineStr">
        <is>
          <t>Spring 2026</t>
        </is>
      </c>
      <c r="D358" s="2" t="inlineStr">
        <is>
          <t>Semester 2</t>
        </is>
      </c>
      <c r="E358" s="2" t="inlineStr">
        <is>
          <t>MTH 140</t>
        </is>
      </c>
      <c r="F358" s="2">
        <f>IFERROR(VLOOKUP(E358,Courses!$A:$C,2,FALSE),"")</f>
        <v/>
      </c>
      <c r="G358" s="2">
        <f>IFERROR(VLOOKUP(E358,Courses!$A:$C,3,FALSE),0)</f>
        <v/>
      </c>
      <c r="H358" s="2" t="inlineStr">
        <is>
          <t>A</t>
        </is>
      </c>
      <c r="I358" s="2" t="n">
        <v>96</v>
      </c>
      <c r="J358" s="2">
        <f>IFERROR(VLOOKUP(H358,'Grade Scale'!$A:$B,2,FALSE),0)</f>
        <v/>
      </c>
      <c r="K358" s="2">
        <f>J358*G358</f>
        <v/>
      </c>
      <c r="L358" s="2">
        <f>IF(H358="F",0,G358)</f>
        <v/>
      </c>
    </row>
    <row r="359">
      <c r="A359" s="2" t="inlineStr">
        <is>
          <t>m250306</t>
        </is>
      </c>
      <c r="B359" s="2">
        <f>IFERROR(VLOOKUP(A359,Students!$A:$B,2,FALSE),"")</f>
        <v/>
      </c>
      <c r="C359" s="2" t="inlineStr">
        <is>
          <t>Spring 2026</t>
        </is>
      </c>
      <c r="D359" s="2" t="inlineStr">
        <is>
          <t>Semester 2</t>
        </is>
      </c>
      <c r="E359" s="2" t="inlineStr">
        <is>
          <t>PHY 102</t>
        </is>
      </c>
      <c r="F359" s="2">
        <f>IFERROR(VLOOKUP(E359,Courses!$A:$C,2,FALSE),"")</f>
        <v/>
      </c>
      <c r="G359" s="2">
        <f>IFERROR(VLOOKUP(E359,Courses!$A:$C,3,FALSE),0)</f>
        <v/>
      </c>
      <c r="H359" s="2" t="inlineStr">
        <is>
          <t>B</t>
        </is>
      </c>
      <c r="I359" s="2" t="n">
        <v>83</v>
      </c>
      <c r="J359" s="2">
        <f>IFERROR(VLOOKUP(H359,'Grade Scale'!$A:$B,2,FALSE),0)</f>
        <v/>
      </c>
      <c r="K359" s="2">
        <f>J359*G359</f>
        <v/>
      </c>
      <c r="L359" s="2">
        <f>IF(H359="F",0,G359)</f>
        <v/>
      </c>
    </row>
    <row r="360">
      <c r="A360" s="2" t="inlineStr">
        <is>
          <t>m250306</t>
        </is>
      </c>
      <c r="B360" s="2">
        <f>IFERROR(VLOOKUP(A360,Students!$A:$B,2,FALSE),"")</f>
        <v/>
      </c>
      <c r="C360" s="2" t="inlineStr">
        <is>
          <t>Spring 2026</t>
        </is>
      </c>
      <c r="D360" s="2" t="inlineStr">
        <is>
          <t>Semester 2</t>
        </is>
      </c>
      <c r="E360" s="2" t="inlineStr">
        <is>
          <t>ENG 102</t>
        </is>
      </c>
      <c r="F360" s="2">
        <f>IFERROR(VLOOKUP(E360,Courses!$A:$C,2,FALSE),"")</f>
        <v/>
      </c>
      <c r="G360" s="2">
        <f>IFERROR(VLOOKUP(E360,Courses!$A:$C,3,FALSE),0)</f>
        <v/>
      </c>
      <c r="H360" s="2" t="inlineStr">
        <is>
          <t>A-</t>
        </is>
      </c>
      <c r="I360" s="2" t="n">
        <v>91</v>
      </c>
      <c r="J360" s="2">
        <f>IFERROR(VLOOKUP(H360,'Grade Scale'!$A:$B,2,FALSE),0)</f>
        <v/>
      </c>
      <c r="K360" s="2">
        <f>J360*G360</f>
        <v/>
      </c>
      <c r="L360" s="2">
        <f>IF(H360="F",0,G360)</f>
        <v/>
      </c>
    </row>
    <row r="361">
      <c r="A361" s="2" t="inlineStr">
        <is>
          <t>m250306</t>
        </is>
      </c>
      <c r="B361" s="2">
        <f>IFERROR(VLOOKUP(A361,Students!$A:$B,2,FALSE),"")</f>
        <v/>
      </c>
      <c r="C361" s="2" t="inlineStr">
        <is>
          <t>Spring 2026</t>
        </is>
      </c>
      <c r="D361" s="2" t="inlineStr">
        <is>
          <t>Semester 2</t>
        </is>
      </c>
      <c r="E361" s="2" t="inlineStr">
        <is>
          <t>CIV 160</t>
        </is>
      </c>
      <c r="F361" s="2">
        <f>IFERROR(VLOOKUP(E361,Courses!$A:$C,2,FALSE),"")</f>
        <v/>
      </c>
      <c r="G361" s="2">
        <f>IFERROR(VLOOKUP(E361,Courses!$A:$C,3,FALSE),0)</f>
        <v/>
      </c>
      <c r="H361" s="2" t="inlineStr">
        <is>
          <t>C+</t>
        </is>
      </c>
      <c r="I361" s="2" t="n">
        <v>78</v>
      </c>
      <c r="J361" s="2">
        <f>IFERROR(VLOOKUP(H361,'Grade Scale'!$A:$B,2,FALSE),0)</f>
        <v/>
      </c>
      <c r="K361" s="2">
        <f>J361*G361</f>
        <v/>
      </c>
      <c r="L361" s="2">
        <f>IF(H361="F",0,G361)</f>
        <v/>
      </c>
    </row>
    <row r="362">
      <c r="A362" s="2" t="inlineStr">
        <is>
          <t>m240109</t>
        </is>
      </c>
      <c r="B362" s="2">
        <f>IFERROR(VLOOKUP(A362,Students!$A:$B,2,FALSE),"")</f>
        <v/>
      </c>
      <c r="C362" s="2" t="inlineStr">
        <is>
          <t>Fall 2024</t>
        </is>
      </c>
      <c r="D362" s="2" t="inlineStr">
        <is>
          <t>Semester 1</t>
        </is>
      </c>
      <c r="E362" s="2" t="inlineStr">
        <is>
          <t>TAM 530</t>
        </is>
      </c>
      <c r="F362" s="2">
        <f>IFERROR(VLOOKUP(E362,Courses!$A:$C,2,FALSE),"")</f>
        <v/>
      </c>
      <c r="G362" s="2">
        <f>IFERROR(VLOOKUP(E362,Courses!$A:$C,3,FALSE),0)</f>
        <v/>
      </c>
      <c r="H362" s="2" t="inlineStr">
        <is>
          <t>B</t>
        </is>
      </c>
      <c r="I362" s="2" t="n">
        <v>84</v>
      </c>
      <c r="J362" s="2">
        <f>IFERROR(VLOOKUP(H362,'Grade Scale'!$A:$B,2,FALSE),0)</f>
        <v/>
      </c>
      <c r="K362" s="2">
        <f>J362*G362</f>
        <v/>
      </c>
      <c r="L362" s="2">
        <f>IF(H362="F",0,G362)</f>
        <v/>
      </c>
    </row>
    <row r="363">
      <c r="A363" s="2" t="inlineStr">
        <is>
          <t>m240109</t>
        </is>
      </c>
      <c r="B363" s="2">
        <f>IFERROR(VLOOKUP(A363,Students!$A:$B,2,FALSE),"")</f>
        <v/>
      </c>
      <c r="C363" s="2" t="inlineStr">
        <is>
          <t>Fall 2024</t>
        </is>
      </c>
      <c r="D363" s="2" t="inlineStr">
        <is>
          <t>Semester 1</t>
        </is>
      </c>
      <c r="E363" s="2" t="inlineStr">
        <is>
          <t>TGM 586</t>
        </is>
      </c>
      <c r="F363" s="2">
        <f>IFERROR(VLOOKUP(E363,Courses!$A:$C,2,FALSE),"")</f>
        <v/>
      </c>
      <c r="G363" s="2">
        <f>IFERROR(VLOOKUP(E363,Courses!$A:$C,3,FALSE),0)</f>
        <v/>
      </c>
      <c r="H363" s="2" t="inlineStr">
        <is>
          <t>C</t>
        </is>
      </c>
      <c r="I363" s="2" t="n">
        <v>74</v>
      </c>
      <c r="J363" s="2">
        <f>IFERROR(VLOOKUP(H363,'Grade Scale'!$A:$B,2,FALSE),0)</f>
        <v/>
      </c>
      <c r="K363" s="2">
        <f>J363*G363</f>
        <v/>
      </c>
      <c r="L363" s="2">
        <f>IF(H363="F",0,G363)</f>
        <v/>
      </c>
    </row>
    <row r="364">
      <c r="A364" s="2" t="inlineStr">
        <is>
          <t>m240109</t>
        </is>
      </c>
      <c r="B364" s="2">
        <f>IFERROR(VLOOKUP(A364,Students!$A:$B,2,FALSE),"")</f>
        <v/>
      </c>
      <c r="C364" s="2" t="inlineStr">
        <is>
          <t>Fall 2024</t>
        </is>
      </c>
      <c r="D364" s="2" t="inlineStr">
        <is>
          <t>Semester 1</t>
        </is>
      </c>
      <c r="E364" s="2" t="inlineStr">
        <is>
          <t>TAM 557</t>
        </is>
      </c>
      <c r="F364" s="2">
        <f>IFERROR(VLOOKUP(E364,Courses!$A:$C,2,FALSE),"")</f>
        <v/>
      </c>
      <c r="G364" s="2">
        <f>IFERROR(VLOOKUP(E364,Courses!$A:$C,3,FALSE),0)</f>
        <v/>
      </c>
      <c r="H364" s="2" t="inlineStr">
        <is>
          <t>B+</t>
        </is>
      </c>
      <c r="I364" s="2" t="n">
        <v>87</v>
      </c>
      <c r="J364" s="2">
        <f>IFERROR(VLOOKUP(H364,'Grade Scale'!$A:$B,2,FALSE),0)</f>
        <v/>
      </c>
      <c r="K364" s="2">
        <f>J364*G364</f>
        <v/>
      </c>
      <c r="L364" s="2">
        <f>IF(H364="F",0,G364)</f>
        <v/>
      </c>
    </row>
    <row r="365">
      <c r="A365" s="2" t="inlineStr">
        <is>
          <t>m240109</t>
        </is>
      </c>
      <c r="B365" s="2">
        <f>IFERROR(VLOOKUP(A365,Students!$A:$B,2,FALSE),"")</f>
        <v/>
      </c>
      <c r="C365" s="2" t="inlineStr">
        <is>
          <t>Fall 2024</t>
        </is>
      </c>
      <c r="D365" s="2" t="inlineStr">
        <is>
          <t>Semester 1</t>
        </is>
      </c>
      <c r="E365" s="2" t="inlineStr">
        <is>
          <t>TAM 542</t>
        </is>
      </c>
      <c r="F365" s="2">
        <f>IFERROR(VLOOKUP(E365,Courses!$A:$C,2,FALSE),"")</f>
        <v/>
      </c>
      <c r="G365" s="2">
        <f>IFERROR(VLOOKUP(E365,Courses!$A:$C,3,FALSE),0)</f>
        <v/>
      </c>
      <c r="H365" s="2" t="inlineStr">
        <is>
          <t>B</t>
        </is>
      </c>
      <c r="I365" s="2" t="n">
        <v>85</v>
      </c>
      <c r="J365" s="2">
        <f>IFERROR(VLOOKUP(H365,'Grade Scale'!$A:$B,2,FALSE),0)</f>
        <v/>
      </c>
      <c r="K365" s="2">
        <f>J365*G365</f>
        <v/>
      </c>
      <c r="L365" s="2">
        <f>IF(H365="F",0,G365)</f>
        <v/>
      </c>
    </row>
    <row r="366">
      <c r="A366" s="2" t="inlineStr">
        <is>
          <t>m240109</t>
        </is>
      </c>
      <c r="B366" s="2">
        <f>IFERROR(VLOOKUP(A366,Students!$A:$B,2,FALSE),"")</f>
        <v/>
      </c>
      <c r="C366" s="2" t="inlineStr">
        <is>
          <t>Fall 2024</t>
        </is>
      </c>
      <c r="D366" s="2" t="inlineStr">
        <is>
          <t>Semester 1</t>
        </is>
      </c>
      <c r="E366" s="2" t="inlineStr">
        <is>
          <t>TAM 511</t>
        </is>
      </c>
      <c r="F366" s="2">
        <f>IFERROR(VLOOKUP(E366,Courses!$A:$C,2,FALSE),"")</f>
        <v/>
      </c>
      <c r="G366" s="2">
        <f>IFERROR(VLOOKUP(E366,Courses!$A:$C,3,FALSE),0)</f>
        <v/>
      </c>
      <c r="H366" s="2" t="inlineStr">
        <is>
          <t>B-</t>
        </is>
      </c>
      <c r="I366" s="2" t="n">
        <v>82</v>
      </c>
      <c r="J366" s="2">
        <f>IFERROR(VLOOKUP(H366,'Grade Scale'!$A:$B,2,FALSE),0)</f>
        <v/>
      </c>
      <c r="K366" s="2">
        <f>J366*G366</f>
        <v/>
      </c>
      <c r="L366" s="2">
        <f>IF(H366="F",0,G366)</f>
        <v/>
      </c>
    </row>
    <row r="367">
      <c r="A367" s="2" t="inlineStr">
        <is>
          <t>m240109</t>
        </is>
      </c>
      <c r="B367" s="2">
        <f>IFERROR(VLOOKUP(A367,Students!$A:$B,2,FALSE),"")</f>
        <v/>
      </c>
      <c r="C367" s="2" t="inlineStr">
        <is>
          <t>Spring 2025</t>
        </is>
      </c>
      <c r="D367" s="2" t="inlineStr">
        <is>
          <t>Semester 2</t>
        </is>
      </c>
      <c r="E367" s="2" t="inlineStr">
        <is>
          <t>IAL 503</t>
        </is>
      </c>
      <c r="F367" s="2">
        <f>IFERROR(VLOOKUP(E367,Courses!$A:$C,2,FALSE),"")</f>
        <v/>
      </c>
      <c r="G367" s="2">
        <f>IFERROR(VLOOKUP(E367,Courses!$A:$C,3,FALSE),0)</f>
        <v/>
      </c>
      <c r="H367" s="2" t="inlineStr">
        <is>
          <t>C+</t>
        </is>
      </c>
      <c r="I367" s="2" t="n">
        <v>79</v>
      </c>
      <c r="J367" s="2">
        <f>IFERROR(VLOOKUP(H367,'Grade Scale'!$A:$B,2,FALSE),0)</f>
        <v/>
      </c>
      <c r="K367" s="2">
        <f>J367*G367</f>
        <v/>
      </c>
      <c r="L367" s="2">
        <f>IF(H367="F",0,G367)</f>
        <v/>
      </c>
    </row>
    <row r="368">
      <c r="A368" s="2" t="inlineStr">
        <is>
          <t>m240109</t>
        </is>
      </c>
      <c r="B368" s="2">
        <f>IFERROR(VLOOKUP(A368,Students!$A:$B,2,FALSE),"")</f>
        <v/>
      </c>
      <c r="C368" s="2" t="inlineStr">
        <is>
          <t>Spring 2025</t>
        </is>
      </c>
      <c r="D368" s="2" t="inlineStr">
        <is>
          <t>Semester 2</t>
        </is>
      </c>
      <c r="E368" s="2" t="inlineStr">
        <is>
          <t>FIN 560</t>
        </is>
      </c>
      <c r="F368" s="2">
        <f>IFERROR(VLOOKUP(E368,Courses!$A:$C,2,FALSE),"")</f>
        <v/>
      </c>
      <c r="G368" s="2">
        <f>IFERROR(VLOOKUP(E368,Courses!$A:$C,3,FALSE),0)</f>
        <v/>
      </c>
      <c r="H368" s="2" t="inlineStr">
        <is>
          <t>B-</t>
        </is>
      </c>
      <c r="I368" s="2" t="n">
        <v>81</v>
      </c>
      <c r="J368" s="2">
        <f>IFERROR(VLOOKUP(H368,'Grade Scale'!$A:$B,2,FALSE),0)</f>
        <v/>
      </c>
      <c r="K368" s="2">
        <f>J368*G368</f>
        <v/>
      </c>
      <c r="L368" s="2">
        <f>IF(H368="F",0,G368)</f>
        <v/>
      </c>
    </row>
    <row r="369">
      <c r="A369" s="2" t="inlineStr">
        <is>
          <t>m240109</t>
        </is>
      </c>
      <c r="B369" s="2">
        <f>IFERROR(VLOOKUP(A369,Students!$A:$B,2,FALSE),"")</f>
        <v/>
      </c>
      <c r="C369" s="2" t="inlineStr">
        <is>
          <t>Spring 2025</t>
        </is>
      </c>
      <c r="D369" s="2" t="inlineStr">
        <is>
          <t>Semester 2</t>
        </is>
      </c>
      <c r="E369" s="2" t="inlineStr">
        <is>
          <t>TGM 551</t>
        </is>
      </c>
      <c r="F369" s="2">
        <f>IFERROR(VLOOKUP(E369,Courses!$A:$C,2,FALSE),"")</f>
        <v/>
      </c>
      <c r="G369" s="2">
        <f>IFERROR(VLOOKUP(E369,Courses!$A:$C,3,FALSE),0)</f>
        <v/>
      </c>
      <c r="H369" s="2" t="inlineStr">
        <is>
          <t>D</t>
        </is>
      </c>
      <c r="I369" s="2" t="n">
        <v>60</v>
      </c>
      <c r="J369" s="2">
        <f>IFERROR(VLOOKUP(H369,'Grade Scale'!$A:$B,2,FALSE),0)</f>
        <v/>
      </c>
      <c r="K369" s="2">
        <f>J369*G369</f>
        <v/>
      </c>
      <c r="L369" s="2">
        <f>IF(H369="F",0,G369)</f>
        <v/>
      </c>
    </row>
    <row r="370">
      <c r="A370" s="2" t="inlineStr">
        <is>
          <t>m240109</t>
        </is>
      </c>
      <c r="B370" s="2">
        <f>IFERROR(VLOOKUP(A370,Students!$A:$B,2,FALSE),"")</f>
        <v/>
      </c>
      <c r="C370" s="2" t="inlineStr">
        <is>
          <t>Spring 2025</t>
        </is>
      </c>
      <c r="D370" s="2" t="inlineStr">
        <is>
          <t>Semester 2</t>
        </is>
      </c>
      <c r="E370" s="2" t="inlineStr">
        <is>
          <t>TAM 505</t>
        </is>
      </c>
      <c r="F370" s="2">
        <f>IFERROR(VLOOKUP(E370,Courses!$A:$C,2,FALSE),"")</f>
        <v/>
      </c>
      <c r="G370" s="2">
        <f>IFERROR(VLOOKUP(E370,Courses!$A:$C,3,FALSE),0)</f>
        <v/>
      </c>
      <c r="H370" s="2" t="inlineStr">
        <is>
          <t>B</t>
        </is>
      </c>
      <c r="I370" s="2" t="n">
        <v>86</v>
      </c>
      <c r="J370" s="2">
        <f>IFERROR(VLOOKUP(H370,'Grade Scale'!$A:$B,2,FALSE),0)</f>
        <v/>
      </c>
      <c r="K370" s="2">
        <f>J370*G370</f>
        <v/>
      </c>
      <c r="L370" s="2">
        <f>IF(H370="F",0,G370)</f>
        <v/>
      </c>
    </row>
    <row r="371">
      <c r="A371" s="2" t="inlineStr">
        <is>
          <t>m240109</t>
        </is>
      </c>
      <c r="B371" s="2">
        <f>IFERROR(VLOOKUP(A371,Students!$A:$B,2,FALSE),"")</f>
        <v/>
      </c>
      <c r="C371" s="2" t="inlineStr">
        <is>
          <t>Spring 2025</t>
        </is>
      </c>
      <c r="D371" s="2" t="inlineStr">
        <is>
          <t>Semester 2</t>
        </is>
      </c>
      <c r="E371" s="2" t="inlineStr">
        <is>
          <t>TGM 507</t>
        </is>
      </c>
      <c r="F371" s="2">
        <f>IFERROR(VLOOKUP(E371,Courses!$A:$C,2,FALSE),"")</f>
        <v/>
      </c>
      <c r="G371" s="2">
        <f>IFERROR(VLOOKUP(E371,Courses!$A:$C,3,FALSE),0)</f>
        <v/>
      </c>
      <c r="H371" s="2" t="inlineStr">
        <is>
          <t>B-</t>
        </is>
      </c>
      <c r="I371" s="2" t="n">
        <v>82</v>
      </c>
      <c r="J371" s="2">
        <f>IFERROR(VLOOKUP(H371,'Grade Scale'!$A:$B,2,FALSE),0)</f>
        <v/>
      </c>
      <c r="K371" s="2">
        <f>J371*G371</f>
        <v/>
      </c>
      <c r="L371" s="2">
        <f>IF(H371="F",0,G371)</f>
        <v/>
      </c>
    </row>
    <row r="372">
      <c r="A372" s="2" t="inlineStr">
        <is>
          <t>m240109</t>
        </is>
      </c>
      <c r="B372" s="2">
        <f>IFERROR(VLOOKUP(A372,Students!$A:$B,2,FALSE),"")</f>
        <v/>
      </c>
      <c r="C372" s="2" t="inlineStr">
        <is>
          <t>Fall 2025</t>
        </is>
      </c>
      <c r="D372" s="2" t="inlineStr">
        <is>
          <t>Semester 3</t>
        </is>
      </c>
      <c r="E372" s="2" t="inlineStr">
        <is>
          <t>TGM 610</t>
        </is>
      </c>
      <c r="F372" s="2">
        <f>IFERROR(VLOOKUP(E372,Courses!$A:$C,2,FALSE),"")</f>
        <v/>
      </c>
      <c r="G372" s="2">
        <f>IFERROR(VLOOKUP(E372,Courses!$A:$C,3,FALSE),0)</f>
        <v/>
      </c>
      <c r="H372" s="2" t="inlineStr">
        <is>
          <t>B+</t>
        </is>
      </c>
      <c r="I372" s="2" t="n">
        <v>87</v>
      </c>
      <c r="J372" s="2">
        <f>IFERROR(VLOOKUP(H372,'Grade Scale'!$A:$B,2,FALSE),0)</f>
        <v/>
      </c>
      <c r="K372" s="2">
        <f>J372*G372</f>
        <v/>
      </c>
      <c r="L372" s="2">
        <f>IF(H372="F",0,G372)</f>
        <v/>
      </c>
    </row>
    <row r="373">
      <c r="A373" s="2" t="inlineStr">
        <is>
          <t>m240109</t>
        </is>
      </c>
      <c r="B373" s="2">
        <f>IFERROR(VLOOKUP(A373,Students!$A:$B,2,FALSE),"")</f>
        <v/>
      </c>
      <c r="C373" s="2" t="inlineStr">
        <is>
          <t>Fall 2025</t>
        </is>
      </c>
      <c r="D373" s="2" t="inlineStr">
        <is>
          <t>Semester 3</t>
        </is>
      </c>
      <c r="E373" s="2" t="inlineStr">
        <is>
          <t>TGM 622</t>
        </is>
      </c>
      <c r="F373" s="2">
        <f>IFERROR(VLOOKUP(E373,Courses!$A:$C,2,FALSE),"")</f>
        <v/>
      </c>
      <c r="G373" s="2">
        <f>IFERROR(VLOOKUP(E373,Courses!$A:$C,3,FALSE),0)</f>
        <v/>
      </c>
      <c r="H373" s="2" t="inlineStr">
        <is>
          <t>C</t>
        </is>
      </c>
      <c r="I373" s="2" t="n">
        <v>76</v>
      </c>
      <c r="J373" s="2">
        <f>IFERROR(VLOOKUP(H373,'Grade Scale'!$A:$B,2,FALSE),0)</f>
        <v/>
      </c>
      <c r="K373" s="2">
        <f>J373*G373</f>
        <v/>
      </c>
      <c r="L373" s="2">
        <f>IF(H373="F",0,G373)</f>
        <v/>
      </c>
    </row>
    <row r="374">
      <c r="A374" s="2" t="inlineStr">
        <is>
          <t>m240109</t>
        </is>
      </c>
      <c r="B374" s="2">
        <f>IFERROR(VLOOKUP(A374,Students!$A:$B,2,FALSE),"")</f>
        <v/>
      </c>
      <c r="C374" s="2" t="inlineStr">
        <is>
          <t>Fall 2025</t>
        </is>
      </c>
      <c r="D374" s="2" t="inlineStr">
        <is>
          <t>Semester 3</t>
        </is>
      </c>
      <c r="E374" s="2" t="inlineStr">
        <is>
          <t>TAM 615</t>
        </is>
      </c>
      <c r="F374" s="2">
        <f>IFERROR(VLOOKUP(E374,Courses!$A:$C,2,FALSE),"")</f>
        <v/>
      </c>
      <c r="G374" s="2">
        <f>IFERROR(VLOOKUP(E374,Courses!$A:$C,3,FALSE),0)</f>
        <v/>
      </c>
      <c r="H374" s="2" t="inlineStr">
        <is>
          <t>D+</t>
        </is>
      </c>
      <c r="I374" s="2" t="n">
        <v>69</v>
      </c>
      <c r="J374" s="2">
        <f>IFERROR(VLOOKUP(H374,'Grade Scale'!$A:$B,2,FALSE),0)</f>
        <v/>
      </c>
      <c r="K374" s="2">
        <f>J374*G374</f>
        <v/>
      </c>
      <c r="L374" s="2">
        <f>IF(H374="F",0,G374)</f>
        <v/>
      </c>
    </row>
    <row r="375">
      <c r="A375" s="2" t="inlineStr">
        <is>
          <t>m240109</t>
        </is>
      </c>
      <c r="B375" s="2">
        <f>IFERROR(VLOOKUP(A375,Students!$A:$B,2,FALSE),"")</f>
        <v/>
      </c>
      <c r="C375" s="2" t="inlineStr">
        <is>
          <t>Fall 2025</t>
        </is>
      </c>
      <c r="D375" s="2" t="inlineStr">
        <is>
          <t>Semester 3</t>
        </is>
      </c>
      <c r="E375" s="2" t="inlineStr">
        <is>
          <t>TGM 630</t>
        </is>
      </c>
      <c r="F375" s="2">
        <f>IFERROR(VLOOKUP(E375,Courses!$A:$C,2,FALSE),"")</f>
        <v/>
      </c>
      <c r="G375" s="2">
        <f>IFERROR(VLOOKUP(E375,Courses!$A:$C,3,FALSE),0)</f>
        <v/>
      </c>
      <c r="H375" s="2" t="inlineStr">
        <is>
          <t>C</t>
        </is>
      </c>
      <c r="I375" s="2" t="n">
        <v>75</v>
      </c>
      <c r="J375" s="2">
        <f>IFERROR(VLOOKUP(H375,'Grade Scale'!$A:$B,2,FALSE),0)</f>
        <v/>
      </c>
      <c r="K375" s="2">
        <f>J375*G375</f>
        <v/>
      </c>
      <c r="L375" s="2">
        <f>IF(H375="F",0,G375)</f>
        <v/>
      </c>
    </row>
    <row r="376">
      <c r="A376" s="2" t="inlineStr">
        <is>
          <t>m240109</t>
        </is>
      </c>
      <c r="B376" s="2">
        <f>IFERROR(VLOOKUP(A376,Students!$A:$B,2,FALSE),"")</f>
        <v/>
      </c>
      <c r="C376" s="2" t="inlineStr">
        <is>
          <t>Fall 2025</t>
        </is>
      </c>
      <c r="D376" s="2" t="inlineStr">
        <is>
          <t>Semester 3</t>
        </is>
      </c>
      <c r="E376" s="2" t="inlineStr">
        <is>
          <t>TGM 690</t>
        </is>
      </c>
      <c r="F376" s="2">
        <f>IFERROR(VLOOKUP(E376,Courses!$A:$C,2,FALSE),"")</f>
        <v/>
      </c>
      <c r="G376" s="2">
        <f>IFERROR(VLOOKUP(E376,Courses!$A:$C,3,FALSE),0)</f>
        <v/>
      </c>
      <c r="H376" s="2" t="inlineStr">
        <is>
          <t>C-</t>
        </is>
      </c>
      <c r="I376" s="2" t="n">
        <v>71</v>
      </c>
      <c r="J376" s="2">
        <f>IFERROR(VLOOKUP(H376,'Grade Scale'!$A:$B,2,FALSE),0)</f>
        <v/>
      </c>
      <c r="K376" s="2">
        <f>J376*G376</f>
        <v/>
      </c>
      <c r="L376" s="2">
        <f>IF(H376="F",0,G376)</f>
        <v/>
      </c>
    </row>
    <row r="377">
      <c r="A377" s="2" t="inlineStr">
        <is>
          <t>m240109</t>
        </is>
      </c>
      <c r="B377" s="2">
        <f>IFERROR(VLOOKUP(A377,Students!$A:$B,2,FALSE),"")</f>
        <v/>
      </c>
      <c r="C377" s="2" t="inlineStr">
        <is>
          <t>Spring 2026</t>
        </is>
      </c>
      <c r="D377" s="2" t="inlineStr">
        <is>
          <t>Semester 4</t>
        </is>
      </c>
      <c r="E377" s="2" t="inlineStr">
        <is>
          <t>TGM 640</t>
        </is>
      </c>
      <c r="F377" s="2">
        <f>IFERROR(VLOOKUP(E377,Courses!$A:$C,2,FALSE),"")</f>
        <v/>
      </c>
      <c r="G377" s="2">
        <f>IFERROR(VLOOKUP(E377,Courses!$A:$C,3,FALSE),0)</f>
        <v/>
      </c>
      <c r="H377" s="2" t="inlineStr">
        <is>
          <t>A</t>
        </is>
      </c>
      <c r="I377" s="2" t="n">
        <v>93</v>
      </c>
      <c r="J377" s="2">
        <f>IFERROR(VLOOKUP(H377,'Grade Scale'!$A:$B,2,FALSE),0)</f>
        <v/>
      </c>
      <c r="K377" s="2">
        <f>J377*G377</f>
        <v/>
      </c>
      <c r="L377" s="2">
        <f>IF(H377="F",0,G377)</f>
        <v/>
      </c>
    </row>
    <row r="378">
      <c r="A378" s="2" t="inlineStr">
        <is>
          <t>m240109</t>
        </is>
      </c>
      <c r="B378" s="2">
        <f>IFERROR(VLOOKUP(A378,Students!$A:$B,2,FALSE),"")</f>
        <v/>
      </c>
      <c r="C378" s="2" t="inlineStr">
        <is>
          <t>Spring 2026</t>
        </is>
      </c>
      <c r="D378" s="2" t="inlineStr">
        <is>
          <t>Semester 4</t>
        </is>
      </c>
      <c r="E378" s="2" t="inlineStr">
        <is>
          <t>TGM 650</t>
        </is>
      </c>
      <c r="F378" s="2">
        <f>IFERROR(VLOOKUP(E378,Courses!$A:$C,2,FALSE),"")</f>
        <v/>
      </c>
      <c r="G378" s="2">
        <f>IFERROR(VLOOKUP(E378,Courses!$A:$C,3,FALSE),0)</f>
        <v/>
      </c>
      <c r="H378" s="2" t="inlineStr">
        <is>
          <t>C</t>
        </is>
      </c>
      <c r="I378" s="2" t="n">
        <v>73</v>
      </c>
      <c r="J378" s="2">
        <f>IFERROR(VLOOKUP(H378,'Grade Scale'!$A:$B,2,FALSE),0)</f>
        <v/>
      </c>
      <c r="K378" s="2">
        <f>J378*G378</f>
        <v/>
      </c>
      <c r="L378" s="2">
        <f>IF(H378="F",0,G378)</f>
        <v/>
      </c>
    </row>
    <row r="379">
      <c r="A379" s="2" t="inlineStr">
        <is>
          <t>m240109</t>
        </is>
      </c>
      <c r="B379" s="2">
        <f>IFERROR(VLOOKUP(A379,Students!$A:$B,2,FALSE),"")</f>
        <v/>
      </c>
      <c r="C379" s="2" t="inlineStr">
        <is>
          <t>Spring 2026</t>
        </is>
      </c>
      <c r="D379" s="2" t="inlineStr">
        <is>
          <t>Semester 4</t>
        </is>
      </c>
      <c r="E379" s="2" t="inlineStr">
        <is>
          <t>TGM 660</t>
        </is>
      </c>
      <c r="F379" s="2">
        <f>IFERROR(VLOOKUP(E379,Courses!$A:$C,2,FALSE),"")</f>
        <v/>
      </c>
      <c r="G379" s="2">
        <f>IFERROR(VLOOKUP(E379,Courses!$A:$C,3,FALSE),0)</f>
        <v/>
      </c>
      <c r="H379" s="2" t="inlineStr">
        <is>
          <t>B-</t>
        </is>
      </c>
      <c r="I379" s="2" t="n">
        <v>81</v>
      </c>
      <c r="J379" s="2">
        <f>IFERROR(VLOOKUP(H379,'Grade Scale'!$A:$B,2,FALSE),0)</f>
        <v/>
      </c>
      <c r="K379" s="2">
        <f>J379*G379</f>
        <v/>
      </c>
      <c r="L379" s="2">
        <f>IF(H379="F",0,G379)</f>
        <v/>
      </c>
    </row>
    <row r="380">
      <c r="A380" s="2" t="inlineStr">
        <is>
          <t>m240109</t>
        </is>
      </c>
      <c r="B380" s="2">
        <f>IFERROR(VLOOKUP(A380,Students!$A:$B,2,FALSE),"")</f>
        <v/>
      </c>
      <c r="C380" s="2" t="inlineStr">
        <is>
          <t>Spring 2026</t>
        </is>
      </c>
      <c r="D380" s="2" t="inlineStr">
        <is>
          <t>Semester 4</t>
        </is>
      </c>
      <c r="E380" s="2" t="inlineStr">
        <is>
          <t>TGM 670</t>
        </is>
      </c>
      <c r="F380" s="2">
        <f>IFERROR(VLOOKUP(E380,Courses!$A:$C,2,FALSE),"")</f>
        <v/>
      </c>
      <c r="G380" s="2">
        <f>IFERROR(VLOOKUP(E380,Courses!$A:$C,3,FALSE),0)</f>
        <v/>
      </c>
      <c r="H380" s="2" t="inlineStr">
        <is>
          <t>B</t>
        </is>
      </c>
      <c r="I380" s="2" t="n">
        <v>86</v>
      </c>
      <c r="J380" s="2">
        <f>IFERROR(VLOOKUP(H380,'Grade Scale'!$A:$B,2,FALSE),0)</f>
        <v/>
      </c>
      <c r="K380" s="2">
        <f>J380*G380</f>
        <v/>
      </c>
      <c r="L380" s="2">
        <f>IF(H380="F",0,G380)</f>
        <v/>
      </c>
    </row>
    <row r="381">
      <c r="A381" s="2" t="inlineStr">
        <is>
          <t>m240109</t>
        </is>
      </c>
      <c r="B381" s="2">
        <f>IFERROR(VLOOKUP(A381,Students!$A:$B,2,FALSE),"")</f>
        <v/>
      </c>
      <c r="C381" s="2" t="inlineStr">
        <is>
          <t>Spring 2026</t>
        </is>
      </c>
      <c r="D381" s="2" t="inlineStr">
        <is>
          <t>Semester 4</t>
        </is>
      </c>
      <c r="E381" s="2" t="inlineStr">
        <is>
          <t>TGM 699</t>
        </is>
      </c>
      <c r="F381" s="2">
        <f>IFERROR(VLOOKUP(E381,Courses!$A:$C,2,FALSE),"")</f>
        <v/>
      </c>
      <c r="G381" s="2">
        <f>IFERROR(VLOOKUP(E381,Courses!$A:$C,3,FALSE),0)</f>
        <v/>
      </c>
      <c r="H381" s="2" t="inlineStr">
        <is>
          <t>B+</t>
        </is>
      </c>
      <c r="I381" s="2" t="n">
        <v>88</v>
      </c>
      <c r="J381" s="2">
        <f>IFERROR(VLOOKUP(H381,'Grade Scale'!$A:$B,2,FALSE),0)</f>
        <v/>
      </c>
      <c r="K381" s="2">
        <f>J381*G381</f>
        <v/>
      </c>
      <c r="L381" s="2">
        <f>IF(H381="F",0,G381)</f>
        <v/>
      </c>
    </row>
    <row r="382">
      <c r="A382" s="2" t="inlineStr">
        <is>
          <t>m250211</t>
        </is>
      </c>
      <c r="B382" s="2">
        <f>IFERROR(VLOOKUP(A382,Students!$A:$B,2,FALSE),"")</f>
        <v/>
      </c>
      <c r="C382" s="2" t="inlineStr">
        <is>
          <t>Spring 2025</t>
        </is>
      </c>
      <c r="D382" s="2" t="inlineStr">
        <is>
          <t>Semester 1</t>
        </is>
      </c>
      <c r="E382" s="2" t="inlineStr">
        <is>
          <t>MBA 501</t>
        </is>
      </c>
      <c r="F382" s="2">
        <f>IFERROR(VLOOKUP(E382,Courses!$A:$C,2,FALSE),"")</f>
        <v/>
      </c>
      <c r="G382" s="2">
        <f>IFERROR(VLOOKUP(E382,Courses!$A:$C,3,FALSE),0)</f>
        <v/>
      </c>
      <c r="H382" s="2" t="inlineStr">
        <is>
          <t>B</t>
        </is>
      </c>
      <c r="I382" s="2" t="n">
        <v>84</v>
      </c>
      <c r="J382" s="2">
        <f>IFERROR(VLOOKUP(H382,'Grade Scale'!$A:$B,2,FALSE),0)</f>
        <v/>
      </c>
      <c r="K382" s="2">
        <f>J382*G382</f>
        <v/>
      </c>
      <c r="L382" s="2">
        <f>IF(H382="F",0,G382)</f>
        <v/>
      </c>
    </row>
    <row r="383">
      <c r="A383" s="2" t="inlineStr">
        <is>
          <t>m250211</t>
        </is>
      </c>
      <c r="B383" s="2">
        <f>IFERROR(VLOOKUP(A383,Students!$A:$B,2,FALSE),"")</f>
        <v/>
      </c>
      <c r="C383" s="2" t="inlineStr">
        <is>
          <t>Spring 2025</t>
        </is>
      </c>
      <c r="D383" s="2" t="inlineStr">
        <is>
          <t>Semester 1</t>
        </is>
      </c>
      <c r="E383" s="2" t="inlineStr">
        <is>
          <t>MBA 510</t>
        </is>
      </c>
      <c r="F383" s="2">
        <f>IFERROR(VLOOKUP(E383,Courses!$A:$C,2,FALSE),"")</f>
        <v/>
      </c>
      <c r="G383" s="2">
        <f>IFERROR(VLOOKUP(E383,Courses!$A:$C,3,FALSE),0)</f>
        <v/>
      </c>
      <c r="H383" s="2" t="inlineStr">
        <is>
          <t>B-</t>
        </is>
      </c>
      <c r="I383" s="2" t="n">
        <v>81</v>
      </c>
      <c r="J383" s="2">
        <f>IFERROR(VLOOKUP(H383,'Grade Scale'!$A:$B,2,FALSE),0)</f>
        <v/>
      </c>
      <c r="K383" s="2">
        <f>J383*G383</f>
        <v/>
      </c>
      <c r="L383" s="2">
        <f>IF(H383="F",0,G383)</f>
        <v/>
      </c>
    </row>
    <row r="384">
      <c r="A384" s="2" t="inlineStr">
        <is>
          <t>m250211</t>
        </is>
      </c>
      <c r="B384" s="2">
        <f>IFERROR(VLOOKUP(A384,Students!$A:$B,2,FALSE),"")</f>
        <v/>
      </c>
      <c r="C384" s="2" t="inlineStr">
        <is>
          <t>Spring 2025</t>
        </is>
      </c>
      <c r="D384" s="2" t="inlineStr">
        <is>
          <t>Semester 1</t>
        </is>
      </c>
      <c r="E384" s="2" t="inlineStr">
        <is>
          <t>MBA 520</t>
        </is>
      </c>
      <c r="F384" s="2">
        <f>IFERROR(VLOOKUP(E384,Courses!$A:$C,2,FALSE),"")</f>
        <v/>
      </c>
      <c r="G384" s="2">
        <f>IFERROR(VLOOKUP(E384,Courses!$A:$C,3,FALSE),0)</f>
        <v/>
      </c>
      <c r="H384" s="2" t="inlineStr">
        <is>
          <t>C</t>
        </is>
      </c>
      <c r="I384" s="2" t="n">
        <v>74</v>
      </c>
      <c r="J384" s="2">
        <f>IFERROR(VLOOKUP(H384,'Grade Scale'!$A:$B,2,FALSE),0)</f>
        <v/>
      </c>
      <c r="K384" s="2">
        <f>J384*G384</f>
        <v/>
      </c>
      <c r="L384" s="2">
        <f>IF(H384="F",0,G384)</f>
        <v/>
      </c>
    </row>
    <row r="385">
      <c r="A385" s="2" t="inlineStr">
        <is>
          <t>m250211</t>
        </is>
      </c>
      <c r="B385" s="2">
        <f>IFERROR(VLOOKUP(A385,Students!$A:$B,2,FALSE),"")</f>
        <v/>
      </c>
      <c r="C385" s="2" t="inlineStr">
        <is>
          <t>Spring 2025</t>
        </is>
      </c>
      <c r="D385" s="2" t="inlineStr">
        <is>
          <t>Semester 1</t>
        </is>
      </c>
      <c r="E385" s="2" t="inlineStr">
        <is>
          <t>MBA 530</t>
        </is>
      </c>
      <c r="F385" s="2">
        <f>IFERROR(VLOOKUP(E385,Courses!$A:$C,2,FALSE),"")</f>
        <v/>
      </c>
      <c r="G385" s="2">
        <f>IFERROR(VLOOKUP(E385,Courses!$A:$C,3,FALSE),0)</f>
        <v/>
      </c>
      <c r="H385" s="2" t="inlineStr">
        <is>
          <t>B-</t>
        </is>
      </c>
      <c r="I385" s="2" t="n">
        <v>80</v>
      </c>
      <c r="J385" s="2">
        <f>IFERROR(VLOOKUP(H385,'Grade Scale'!$A:$B,2,FALSE),0)</f>
        <v/>
      </c>
      <c r="K385" s="2">
        <f>J385*G385</f>
        <v/>
      </c>
      <c r="L385" s="2">
        <f>IF(H385="F",0,G385)</f>
        <v/>
      </c>
    </row>
    <row r="386">
      <c r="A386" s="2" t="inlineStr">
        <is>
          <t>m250211</t>
        </is>
      </c>
      <c r="B386" s="2">
        <f>IFERROR(VLOOKUP(A386,Students!$A:$B,2,FALSE),"")</f>
        <v/>
      </c>
      <c r="C386" s="2" t="inlineStr">
        <is>
          <t>Spring 2025</t>
        </is>
      </c>
      <c r="D386" s="2" t="inlineStr">
        <is>
          <t>Semester 1</t>
        </is>
      </c>
      <c r="E386" s="2" t="inlineStr">
        <is>
          <t>MBA 540</t>
        </is>
      </c>
      <c r="F386" s="2">
        <f>IFERROR(VLOOKUP(E386,Courses!$A:$C,2,FALSE),"")</f>
        <v/>
      </c>
      <c r="G386" s="2">
        <f>IFERROR(VLOOKUP(E386,Courses!$A:$C,3,FALSE),0)</f>
        <v/>
      </c>
      <c r="H386" s="2" t="inlineStr">
        <is>
          <t>B</t>
        </is>
      </c>
      <c r="I386" s="2" t="n">
        <v>84</v>
      </c>
      <c r="J386" s="2">
        <f>IFERROR(VLOOKUP(H386,'Grade Scale'!$A:$B,2,FALSE),0)</f>
        <v/>
      </c>
      <c r="K386" s="2">
        <f>J386*G386</f>
        <v/>
      </c>
      <c r="L386" s="2">
        <f>IF(H386="F",0,G386)</f>
        <v/>
      </c>
    </row>
    <row r="387">
      <c r="A387" s="2" t="inlineStr">
        <is>
          <t>m250211</t>
        </is>
      </c>
      <c r="B387" s="2">
        <f>IFERROR(VLOOKUP(A387,Students!$A:$B,2,FALSE),"")</f>
        <v/>
      </c>
      <c r="C387" s="2" t="inlineStr">
        <is>
          <t>Fall 2025</t>
        </is>
      </c>
      <c r="D387" s="2" t="inlineStr">
        <is>
          <t>Semester 2</t>
        </is>
      </c>
      <c r="E387" s="2" t="inlineStr">
        <is>
          <t>MBA 550</t>
        </is>
      </c>
      <c r="F387" s="2">
        <f>IFERROR(VLOOKUP(E387,Courses!$A:$C,2,FALSE),"")</f>
        <v/>
      </c>
      <c r="G387" s="2">
        <f>IFERROR(VLOOKUP(E387,Courses!$A:$C,3,FALSE),0)</f>
        <v/>
      </c>
      <c r="H387" s="2" t="inlineStr">
        <is>
          <t>C+</t>
        </is>
      </c>
      <c r="I387" s="2" t="n">
        <v>78</v>
      </c>
      <c r="J387" s="2">
        <f>IFERROR(VLOOKUP(H387,'Grade Scale'!$A:$B,2,FALSE),0)</f>
        <v/>
      </c>
      <c r="K387" s="2">
        <f>J387*G387</f>
        <v/>
      </c>
      <c r="L387" s="2">
        <f>IF(H387="F",0,G387)</f>
        <v/>
      </c>
    </row>
    <row r="388">
      <c r="A388" s="2" t="inlineStr">
        <is>
          <t>m250211</t>
        </is>
      </c>
      <c r="B388" s="2">
        <f>IFERROR(VLOOKUP(A388,Students!$A:$B,2,FALSE),"")</f>
        <v/>
      </c>
      <c r="C388" s="2" t="inlineStr">
        <is>
          <t>Fall 2025</t>
        </is>
      </c>
      <c r="D388" s="2" t="inlineStr">
        <is>
          <t>Semester 2</t>
        </is>
      </c>
      <c r="E388" s="2" t="inlineStr">
        <is>
          <t>MBA 560</t>
        </is>
      </c>
      <c r="F388" s="2">
        <f>IFERROR(VLOOKUP(E388,Courses!$A:$C,2,FALSE),"")</f>
        <v/>
      </c>
      <c r="G388" s="2">
        <f>IFERROR(VLOOKUP(E388,Courses!$A:$C,3,FALSE),0)</f>
        <v/>
      </c>
      <c r="H388" s="2" t="inlineStr">
        <is>
          <t>C+</t>
        </is>
      </c>
      <c r="I388" s="2" t="n">
        <v>77</v>
      </c>
      <c r="J388" s="2">
        <f>IFERROR(VLOOKUP(H388,'Grade Scale'!$A:$B,2,FALSE),0)</f>
        <v/>
      </c>
      <c r="K388" s="2">
        <f>J388*G388</f>
        <v/>
      </c>
      <c r="L388" s="2">
        <f>IF(H388="F",0,G388)</f>
        <v/>
      </c>
    </row>
    <row r="389">
      <c r="A389" s="2" t="inlineStr">
        <is>
          <t>m250211</t>
        </is>
      </c>
      <c r="B389" s="2">
        <f>IFERROR(VLOOKUP(A389,Students!$A:$B,2,FALSE),"")</f>
        <v/>
      </c>
      <c r="C389" s="2" t="inlineStr">
        <is>
          <t>Fall 2025</t>
        </is>
      </c>
      <c r="D389" s="2" t="inlineStr">
        <is>
          <t>Semester 2</t>
        </is>
      </c>
      <c r="E389" s="2" t="inlineStr">
        <is>
          <t>MBA 570</t>
        </is>
      </c>
      <c r="F389" s="2">
        <f>IFERROR(VLOOKUP(E389,Courses!$A:$C,2,FALSE),"")</f>
        <v/>
      </c>
      <c r="G389" s="2">
        <f>IFERROR(VLOOKUP(E389,Courses!$A:$C,3,FALSE),0)</f>
        <v/>
      </c>
      <c r="H389" s="2" t="inlineStr">
        <is>
          <t>C</t>
        </is>
      </c>
      <c r="I389" s="2" t="n">
        <v>73</v>
      </c>
      <c r="J389" s="2">
        <f>IFERROR(VLOOKUP(H389,'Grade Scale'!$A:$B,2,FALSE),0)</f>
        <v/>
      </c>
      <c r="K389" s="2">
        <f>J389*G389</f>
        <v/>
      </c>
      <c r="L389" s="2">
        <f>IF(H389="F",0,G389)</f>
        <v/>
      </c>
    </row>
    <row r="390">
      <c r="A390" s="2" t="inlineStr">
        <is>
          <t>m250211</t>
        </is>
      </c>
      <c r="B390" s="2">
        <f>IFERROR(VLOOKUP(A390,Students!$A:$B,2,FALSE),"")</f>
        <v/>
      </c>
      <c r="C390" s="2" t="inlineStr">
        <is>
          <t>Fall 2025</t>
        </is>
      </c>
      <c r="D390" s="2" t="inlineStr">
        <is>
          <t>Semester 2</t>
        </is>
      </c>
      <c r="E390" s="2" t="inlineStr">
        <is>
          <t>MBA 580</t>
        </is>
      </c>
      <c r="F390" s="2">
        <f>IFERROR(VLOOKUP(E390,Courses!$A:$C,2,FALSE),"")</f>
        <v/>
      </c>
      <c r="G390" s="2">
        <f>IFERROR(VLOOKUP(E390,Courses!$A:$C,3,FALSE),0)</f>
        <v/>
      </c>
      <c r="H390" s="2" t="inlineStr">
        <is>
          <t>C</t>
        </is>
      </c>
      <c r="I390" s="2" t="n">
        <v>74</v>
      </c>
      <c r="J390" s="2">
        <f>IFERROR(VLOOKUP(H390,'Grade Scale'!$A:$B,2,FALSE),0)</f>
        <v/>
      </c>
      <c r="K390" s="2">
        <f>J390*G390</f>
        <v/>
      </c>
      <c r="L390" s="2">
        <f>IF(H390="F",0,G390)</f>
        <v/>
      </c>
    </row>
    <row r="391">
      <c r="A391" s="2" t="inlineStr">
        <is>
          <t>m250211</t>
        </is>
      </c>
      <c r="B391" s="2">
        <f>IFERROR(VLOOKUP(A391,Students!$A:$B,2,FALSE),"")</f>
        <v/>
      </c>
      <c r="C391" s="2" t="inlineStr">
        <is>
          <t>Fall 2025</t>
        </is>
      </c>
      <c r="D391" s="2" t="inlineStr">
        <is>
          <t>Semester 2</t>
        </is>
      </c>
      <c r="E391" s="2" t="inlineStr">
        <is>
          <t>MBA 590</t>
        </is>
      </c>
      <c r="F391" s="2">
        <f>IFERROR(VLOOKUP(E391,Courses!$A:$C,2,FALSE),"")</f>
        <v/>
      </c>
      <c r="G391" s="2">
        <f>IFERROR(VLOOKUP(E391,Courses!$A:$C,3,FALSE),0)</f>
        <v/>
      </c>
      <c r="H391" s="2" t="inlineStr">
        <is>
          <t>B</t>
        </is>
      </c>
      <c r="I391" s="2" t="n">
        <v>83</v>
      </c>
      <c r="J391" s="2">
        <f>IFERROR(VLOOKUP(H391,'Grade Scale'!$A:$B,2,FALSE),0)</f>
        <v/>
      </c>
      <c r="K391" s="2">
        <f>J391*G391</f>
        <v/>
      </c>
      <c r="L391" s="2">
        <f>IF(H391="F",0,G391)</f>
        <v/>
      </c>
    </row>
    <row r="392">
      <c r="A392" s="2" t="inlineStr">
        <is>
          <t>m250211</t>
        </is>
      </c>
      <c r="B392" s="2">
        <f>IFERROR(VLOOKUP(A392,Students!$A:$B,2,FALSE),"")</f>
        <v/>
      </c>
      <c r="C392" s="2" t="inlineStr">
        <is>
          <t>Spring 2026</t>
        </is>
      </c>
      <c r="D392" s="2" t="inlineStr">
        <is>
          <t>Semester 3</t>
        </is>
      </c>
      <c r="E392" s="2" t="inlineStr">
        <is>
          <t>MBA 610</t>
        </is>
      </c>
      <c r="F392" s="2">
        <f>IFERROR(VLOOKUP(E392,Courses!$A:$C,2,FALSE),"")</f>
        <v/>
      </c>
      <c r="G392" s="2">
        <f>IFERROR(VLOOKUP(E392,Courses!$A:$C,3,FALSE),0)</f>
        <v/>
      </c>
      <c r="H392" s="2" t="inlineStr">
        <is>
          <t>D</t>
        </is>
      </c>
      <c r="I392" s="2" t="n">
        <v>66</v>
      </c>
      <c r="J392" s="2">
        <f>IFERROR(VLOOKUP(H392,'Grade Scale'!$A:$B,2,FALSE),0)</f>
        <v/>
      </c>
      <c r="K392" s="2">
        <f>J392*G392</f>
        <v/>
      </c>
      <c r="L392" s="2">
        <f>IF(H392="F",0,G392)</f>
        <v/>
      </c>
    </row>
    <row r="393">
      <c r="A393" s="2" t="inlineStr">
        <is>
          <t>m250211</t>
        </is>
      </c>
      <c r="B393" s="2">
        <f>IFERROR(VLOOKUP(A393,Students!$A:$B,2,FALSE),"")</f>
        <v/>
      </c>
      <c r="C393" s="2" t="inlineStr">
        <is>
          <t>Spring 2026</t>
        </is>
      </c>
      <c r="D393" s="2" t="inlineStr">
        <is>
          <t>Semester 3</t>
        </is>
      </c>
      <c r="E393" s="2" t="inlineStr">
        <is>
          <t>MBA 620</t>
        </is>
      </c>
      <c r="F393" s="2">
        <f>IFERROR(VLOOKUP(E393,Courses!$A:$C,2,FALSE),"")</f>
        <v/>
      </c>
      <c r="G393" s="2">
        <f>IFERROR(VLOOKUP(E393,Courses!$A:$C,3,FALSE),0)</f>
        <v/>
      </c>
      <c r="H393" s="2" t="inlineStr">
        <is>
          <t>B+</t>
        </is>
      </c>
      <c r="I393" s="2" t="n">
        <v>89</v>
      </c>
      <c r="J393" s="2">
        <f>IFERROR(VLOOKUP(H393,'Grade Scale'!$A:$B,2,FALSE),0)</f>
        <v/>
      </c>
      <c r="K393" s="2">
        <f>J393*G393</f>
        <v/>
      </c>
      <c r="L393" s="2">
        <f>IF(H393="F",0,G393)</f>
        <v/>
      </c>
    </row>
    <row r="394">
      <c r="A394" s="2" t="inlineStr">
        <is>
          <t>m250211</t>
        </is>
      </c>
      <c r="B394" s="2">
        <f>IFERROR(VLOOKUP(A394,Students!$A:$B,2,FALSE),"")</f>
        <v/>
      </c>
      <c r="C394" s="2" t="inlineStr">
        <is>
          <t>Spring 2026</t>
        </is>
      </c>
      <c r="D394" s="2" t="inlineStr">
        <is>
          <t>Semester 3</t>
        </is>
      </c>
      <c r="E394" s="2" t="inlineStr">
        <is>
          <t>MBA 630</t>
        </is>
      </c>
      <c r="F394" s="2">
        <f>IFERROR(VLOOKUP(E394,Courses!$A:$C,2,FALSE),"")</f>
        <v/>
      </c>
      <c r="G394" s="2">
        <f>IFERROR(VLOOKUP(E394,Courses!$A:$C,3,FALSE),0)</f>
        <v/>
      </c>
      <c r="H394" s="2" t="inlineStr">
        <is>
          <t>B-</t>
        </is>
      </c>
      <c r="I394" s="2" t="n">
        <v>80</v>
      </c>
      <c r="J394" s="2">
        <f>IFERROR(VLOOKUP(H394,'Grade Scale'!$A:$B,2,FALSE),0)</f>
        <v/>
      </c>
      <c r="K394" s="2">
        <f>J394*G394</f>
        <v/>
      </c>
      <c r="L394" s="2">
        <f>IF(H394="F",0,G394)</f>
        <v/>
      </c>
    </row>
    <row r="395">
      <c r="A395" s="2" t="inlineStr">
        <is>
          <t>m250211</t>
        </is>
      </c>
      <c r="B395" s="2">
        <f>IFERROR(VLOOKUP(A395,Students!$A:$B,2,FALSE),"")</f>
        <v/>
      </c>
      <c r="C395" s="2" t="inlineStr">
        <is>
          <t>Spring 2026</t>
        </is>
      </c>
      <c r="D395" s="2" t="inlineStr">
        <is>
          <t>Semester 3</t>
        </is>
      </c>
      <c r="E395" s="2" t="inlineStr">
        <is>
          <t>MBA 640</t>
        </is>
      </c>
      <c r="F395" s="2">
        <f>IFERROR(VLOOKUP(E395,Courses!$A:$C,2,FALSE),"")</f>
        <v/>
      </c>
      <c r="G395" s="2">
        <f>IFERROR(VLOOKUP(E395,Courses!$A:$C,3,FALSE),0)</f>
        <v/>
      </c>
      <c r="H395" s="2" t="inlineStr">
        <is>
          <t>B</t>
        </is>
      </c>
      <c r="I395" s="2" t="n">
        <v>85</v>
      </c>
      <c r="J395" s="2">
        <f>IFERROR(VLOOKUP(H395,'Grade Scale'!$A:$B,2,FALSE),0)</f>
        <v/>
      </c>
      <c r="K395" s="2">
        <f>J395*G395</f>
        <v/>
      </c>
      <c r="L395" s="2">
        <f>IF(H395="F",0,G395)</f>
        <v/>
      </c>
    </row>
    <row r="396">
      <c r="A396" s="2" t="inlineStr">
        <is>
          <t>m250211</t>
        </is>
      </c>
      <c r="B396" s="2">
        <f>IFERROR(VLOOKUP(A396,Students!$A:$B,2,FALSE),"")</f>
        <v/>
      </c>
      <c r="C396" s="2" t="inlineStr">
        <is>
          <t>Spring 2026</t>
        </is>
      </c>
      <c r="D396" s="2" t="inlineStr">
        <is>
          <t>Semester 3</t>
        </is>
      </c>
      <c r="E396" s="2" t="inlineStr">
        <is>
          <t>MBA 690</t>
        </is>
      </c>
      <c r="F396" s="2">
        <f>IFERROR(VLOOKUP(E396,Courses!$A:$C,2,FALSE),"")</f>
        <v/>
      </c>
      <c r="G396" s="2">
        <f>IFERROR(VLOOKUP(E396,Courses!$A:$C,3,FALSE),0)</f>
        <v/>
      </c>
      <c r="H396" s="2" t="inlineStr">
        <is>
          <t>B</t>
        </is>
      </c>
      <c r="I396" s="2" t="n">
        <v>84</v>
      </c>
      <c r="J396" s="2">
        <f>IFERROR(VLOOKUP(H396,'Grade Scale'!$A:$B,2,FALSE),0)</f>
        <v/>
      </c>
      <c r="K396" s="2">
        <f>J396*G396</f>
        <v/>
      </c>
      <c r="L396" s="2">
        <f>IF(H396="F",0,G396)</f>
        <v/>
      </c>
    </row>
    <row r="397">
      <c r="A397" s="2" t="inlineStr">
        <is>
          <t>m250307</t>
        </is>
      </c>
      <c r="B397" s="2">
        <f>IFERROR(VLOOKUP(A397,Students!$A:$B,2,FALSE),"")</f>
        <v/>
      </c>
      <c r="C397" s="2" t="inlineStr">
        <is>
          <t>Fall 2025</t>
        </is>
      </c>
      <c r="D397" s="2" t="inlineStr">
        <is>
          <t>Semester 1</t>
        </is>
      </c>
      <c r="E397" s="2" t="inlineStr">
        <is>
          <t>CSE 101</t>
        </is>
      </c>
      <c r="F397" s="2">
        <f>IFERROR(VLOOKUP(E397,Courses!$A:$C,2,FALSE),"")</f>
        <v/>
      </c>
      <c r="G397" s="2">
        <f>IFERROR(VLOOKUP(E397,Courses!$A:$C,3,FALSE),0)</f>
        <v/>
      </c>
      <c r="H397" s="2" t="inlineStr">
        <is>
          <t>B</t>
        </is>
      </c>
      <c r="I397" s="2" t="n">
        <v>84</v>
      </c>
      <c r="J397" s="2">
        <f>IFERROR(VLOOKUP(H397,'Grade Scale'!$A:$B,2,FALSE),0)</f>
        <v/>
      </c>
      <c r="K397" s="2">
        <f>J397*G397</f>
        <v/>
      </c>
      <c r="L397" s="2">
        <f>IF(H397="F",0,G397)</f>
        <v/>
      </c>
    </row>
    <row r="398">
      <c r="A398" s="2" t="inlineStr">
        <is>
          <t>m250307</t>
        </is>
      </c>
      <c r="B398" s="2">
        <f>IFERROR(VLOOKUP(A398,Students!$A:$B,2,FALSE),"")</f>
        <v/>
      </c>
      <c r="C398" s="2" t="inlineStr">
        <is>
          <t>Fall 2025</t>
        </is>
      </c>
      <c r="D398" s="2" t="inlineStr">
        <is>
          <t>Semester 1</t>
        </is>
      </c>
      <c r="E398" s="2" t="inlineStr">
        <is>
          <t>MTH 110</t>
        </is>
      </c>
      <c r="F398" s="2">
        <f>IFERROR(VLOOKUP(E398,Courses!$A:$C,2,FALSE),"")</f>
        <v/>
      </c>
      <c r="G398" s="2">
        <f>IFERROR(VLOOKUP(E398,Courses!$A:$C,3,FALSE),0)</f>
        <v/>
      </c>
      <c r="H398" s="2" t="inlineStr">
        <is>
          <t>C+</t>
        </is>
      </c>
      <c r="I398" s="2" t="n">
        <v>78</v>
      </c>
      <c r="J398" s="2">
        <f>IFERROR(VLOOKUP(H398,'Grade Scale'!$A:$B,2,FALSE),0)</f>
        <v/>
      </c>
      <c r="K398" s="2">
        <f>J398*G398</f>
        <v/>
      </c>
      <c r="L398" s="2">
        <f>IF(H398="F",0,G398)</f>
        <v/>
      </c>
    </row>
    <row r="399">
      <c r="A399" s="2" t="inlineStr">
        <is>
          <t>m250307</t>
        </is>
      </c>
      <c r="B399" s="2">
        <f>IFERROR(VLOOKUP(A399,Students!$A:$B,2,FALSE),"")</f>
        <v/>
      </c>
      <c r="C399" s="2" t="inlineStr">
        <is>
          <t>Fall 2025</t>
        </is>
      </c>
      <c r="D399" s="2" t="inlineStr">
        <is>
          <t>Semester 1</t>
        </is>
      </c>
      <c r="E399" s="2" t="inlineStr">
        <is>
          <t>CSE 120</t>
        </is>
      </c>
      <c r="F399" s="2">
        <f>IFERROR(VLOOKUP(E399,Courses!$A:$C,2,FALSE),"")</f>
        <v/>
      </c>
      <c r="G399" s="2">
        <f>IFERROR(VLOOKUP(E399,Courses!$A:$C,3,FALSE),0)</f>
        <v/>
      </c>
      <c r="H399" s="2" t="inlineStr">
        <is>
          <t>B</t>
        </is>
      </c>
      <c r="I399" s="2" t="n">
        <v>85</v>
      </c>
      <c r="J399" s="2">
        <f>IFERROR(VLOOKUP(H399,'Grade Scale'!$A:$B,2,FALSE),0)</f>
        <v/>
      </c>
      <c r="K399" s="2">
        <f>J399*G399</f>
        <v/>
      </c>
      <c r="L399" s="2">
        <f>IF(H399="F",0,G399)</f>
        <v/>
      </c>
    </row>
    <row r="400">
      <c r="A400" s="2" t="inlineStr">
        <is>
          <t>m250307</t>
        </is>
      </c>
      <c r="B400" s="2">
        <f>IFERROR(VLOOKUP(A400,Students!$A:$B,2,FALSE),"")</f>
        <v/>
      </c>
      <c r="C400" s="2" t="inlineStr">
        <is>
          <t>Fall 2025</t>
        </is>
      </c>
      <c r="D400" s="2" t="inlineStr">
        <is>
          <t>Semester 1</t>
        </is>
      </c>
      <c r="E400" s="2" t="inlineStr">
        <is>
          <t>ENG 101</t>
        </is>
      </c>
      <c r="F400" s="2">
        <f>IFERROR(VLOOKUP(E400,Courses!$A:$C,2,FALSE),"")</f>
        <v/>
      </c>
      <c r="G400" s="2">
        <f>IFERROR(VLOOKUP(E400,Courses!$A:$C,3,FALSE),0)</f>
        <v/>
      </c>
      <c r="H400" s="2" t="inlineStr">
        <is>
          <t>B+</t>
        </is>
      </c>
      <c r="I400" s="2" t="n">
        <v>89</v>
      </c>
      <c r="J400" s="2">
        <f>IFERROR(VLOOKUP(H400,'Grade Scale'!$A:$B,2,FALSE),0)</f>
        <v/>
      </c>
      <c r="K400" s="2">
        <f>J400*G400</f>
        <v/>
      </c>
      <c r="L400" s="2">
        <f>IF(H400="F",0,G400)</f>
        <v/>
      </c>
    </row>
    <row r="401">
      <c r="A401" s="2" t="inlineStr">
        <is>
          <t>m250307</t>
        </is>
      </c>
      <c r="B401" s="2">
        <f>IFERROR(VLOOKUP(A401,Students!$A:$B,2,FALSE),"")</f>
        <v/>
      </c>
      <c r="C401" s="2" t="inlineStr">
        <is>
          <t>Fall 2025</t>
        </is>
      </c>
      <c r="D401" s="2" t="inlineStr">
        <is>
          <t>Semester 1</t>
        </is>
      </c>
      <c r="E401" s="2" t="inlineStr">
        <is>
          <t>MTH 120</t>
        </is>
      </c>
      <c r="F401" s="2">
        <f>IFERROR(VLOOKUP(E401,Courses!$A:$C,2,FALSE),"")</f>
        <v/>
      </c>
      <c r="G401" s="2">
        <f>IFERROR(VLOOKUP(E401,Courses!$A:$C,3,FALSE),0)</f>
        <v/>
      </c>
      <c r="H401" s="2" t="inlineStr">
        <is>
          <t>C-</t>
        </is>
      </c>
      <c r="I401" s="2" t="n">
        <v>72</v>
      </c>
      <c r="J401" s="2">
        <f>IFERROR(VLOOKUP(H401,'Grade Scale'!$A:$B,2,FALSE),0)</f>
        <v/>
      </c>
      <c r="K401" s="2">
        <f>J401*G401</f>
        <v/>
      </c>
      <c r="L401" s="2">
        <f>IF(H401="F",0,G401)</f>
        <v/>
      </c>
    </row>
    <row r="402">
      <c r="A402" s="2" t="inlineStr">
        <is>
          <t>m250307</t>
        </is>
      </c>
      <c r="B402" s="2">
        <f>IFERROR(VLOOKUP(A402,Students!$A:$B,2,FALSE),"")</f>
        <v/>
      </c>
      <c r="C402" s="2" t="inlineStr">
        <is>
          <t>Spring 2026</t>
        </is>
      </c>
      <c r="D402" s="2" t="inlineStr">
        <is>
          <t>Semester 2</t>
        </is>
      </c>
      <c r="E402" s="2" t="inlineStr">
        <is>
          <t>CSE 150</t>
        </is>
      </c>
      <c r="F402" s="2">
        <f>IFERROR(VLOOKUP(E402,Courses!$A:$C,2,FALSE),"")</f>
        <v/>
      </c>
      <c r="G402" s="2">
        <f>IFERROR(VLOOKUP(E402,Courses!$A:$C,3,FALSE),0)</f>
        <v/>
      </c>
      <c r="H402" s="2" t="inlineStr">
        <is>
          <t>A</t>
        </is>
      </c>
      <c r="I402" s="2" t="n">
        <v>100</v>
      </c>
      <c r="J402" s="2">
        <f>IFERROR(VLOOKUP(H402,'Grade Scale'!$A:$B,2,FALSE),0)</f>
        <v/>
      </c>
      <c r="K402" s="2">
        <f>J402*G402</f>
        <v/>
      </c>
      <c r="L402" s="2">
        <f>IF(H402="F",0,G402)</f>
        <v/>
      </c>
    </row>
    <row r="403">
      <c r="A403" s="2" t="inlineStr">
        <is>
          <t>m250307</t>
        </is>
      </c>
      <c r="B403" s="2">
        <f>IFERROR(VLOOKUP(A403,Students!$A:$B,2,FALSE),"")</f>
        <v/>
      </c>
      <c r="C403" s="2" t="inlineStr">
        <is>
          <t>Spring 2026</t>
        </is>
      </c>
      <c r="D403" s="2" t="inlineStr">
        <is>
          <t>Semester 2</t>
        </is>
      </c>
      <c r="E403" s="2" t="inlineStr">
        <is>
          <t>CSE 160</t>
        </is>
      </c>
      <c r="F403" s="2">
        <f>IFERROR(VLOOKUP(E403,Courses!$A:$C,2,FALSE),"")</f>
        <v/>
      </c>
      <c r="G403" s="2">
        <f>IFERROR(VLOOKUP(E403,Courses!$A:$C,3,FALSE),0)</f>
        <v/>
      </c>
      <c r="H403" s="2" t="inlineStr">
        <is>
          <t>B-</t>
        </is>
      </c>
      <c r="I403" s="2" t="n">
        <v>81</v>
      </c>
      <c r="J403" s="2">
        <f>IFERROR(VLOOKUP(H403,'Grade Scale'!$A:$B,2,FALSE),0)</f>
        <v/>
      </c>
      <c r="K403" s="2">
        <f>J403*G403</f>
        <v/>
      </c>
      <c r="L403" s="2">
        <f>IF(H403="F",0,G403)</f>
        <v/>
      </c>
    </row>
    <row r="404">
      <c r="A404" s="2" t="inlineStr">
        <is>
          <t>m250307</t>
        </is>
      </c>
      <c r="B404" s="2">
        <f>IFERROR(VLOOKUP(A404,Students!$A:$B,2,FALSE),"")</f>
        <v/>
      </c>
      <c r="C404" s="2" t="inlineStr">
        <is>
          <t>Spring 2026</t>
        </is>
      </c>
      <c r="D404" s="2" t="inlineStr">
        <is>
          <t>Semester 2</t>
        </is>
      </c>
      <c r="E404" s="2" t="inlineStr">
        <is>
          <t>CSE 170</t>
        </is>
      </c>
      <c r="F404" s="2">
        <f>IFERROR(VLOOKUP(E404,Courses!$A:$C,2,FALSE),"")</f>
        <v/>
      </c>
      <c r="G404" s="2">
        <f>IFERROR(VLOOKUP(E404,Courses!$A:$C,3,FALSE),0)</f>
        <v/>
      </c>
      <c r="H404" s="2" t="inlineStr">
        <is>
          <t>B+</t>
        </is>
      </c>
      <c r="I404" s="2" t="n">
        <v>87</v>
      </c>
      <c r="J404" s="2">
        <f>IFERROR(VLOOKUP(H404,'Grade Scale'!$A:$B,2,FALSE),0)</f>
        <v/>
      </c>
      <c r="K404" s="2">
        <f>J404*G404</f>
        <v/>
      </c>
      <c r="L404" s="2">
        <f>IF(H404="F",0,G404)</f>
        <v/>
      </c>
    </row>
    <row r="405">
      <c r="A405" s="2" t="inlineStr">
        <is>
          <t>m250307</t>
        </is>
      </c>
      <c r="B405" s="2">
        <f>IFERROR(VLOOKUP(A405,Students!$A:$B,2,FALSE),"")</f>
        <v/>
      </c>
      <c r="C405" s="2" t="inlineStr">
        <is>
          <t>Spring 2026</t>
        </is>
      </c>
      <c r="D405" s="2" t="inlineStr">
        <is>
          <t>Semester 2</t>
        </is>
      </c>
      <c r="E405" s="2" t="inlineStr">
        <is>
          <t>ENG 102</t>
        </is>
      </c>
      <c r="F405" s="2">
        <f>IFERROR(VLOOKUP(E405,Courses!$A:$C,2,FALSE),"")</f>
        <v/>
      </c>
      <c r="G405" s="2">
        <f>IFERROR(VLOOKUP(E405,Courses!$A:$C,3,FALSE),0)</f>
        <v/>
      </c>
      <c r="H405" s="2" t="inlineStr">
        <is>
          <t>A-</t>
        </is>
      </c>
      <c r="I405" s="2" t="n">
        <v>90</v>
      </c>
      <c r="J405" s="2">
        <f>IFERROR(VLOOKUP(H405,'Grade Scale'!$A:$B,2,FALSE),0)</f>
        <v/>
      </c>
      <c r="K405" s="2">
        <f>J405*G405</f>
        <v/>
      </c>
      <c r="L405" s="2">
        <f>IF(H405="F",0,G405)</f>
        <v/>
      </c>
    </row>
    <row r="406">
      <c r="A406" s="2" t="inlineStr">
        <is>
          <t>m250307</t>
        </is>
      </c>
      <c r="B406" s="2">
        <f>IFERROR(VLOOKUP(A406,Students!$A:$B,2,FALSE),"")</f>
        <v/>
      </c>
      <c r="C406" s="2" t="inlineStr">
        <is>
          <t>Spring 2026</t>
        </is>
      </c>
      <c r="D406" s="2" t="inlineStr">
        <is>
          <t>Semester 2</t>
        </is>
      </c>
      <c r="E406" s="2" t="inlineStr">
        <is>
          <t>MTH 130</t>
        </is>
      </c>
      <c r="F406" s="2">
        <f>IFERROR(VLOOKUP(E406,Courses!$A:$C,2,FALSE),"")</f>
        <v/>
      </c>
      <c r="G406" s="2">
        <f>IFERROR(VLOOKUP(E406,Courses!$A:$C,3,FALSE),0)</f>
        <v/>
      </c>
      <c r="H406" s="2" t="inlineStr">
        <is>
          <t>B+</t>
        </is>
      </c>
      <c r="I406" s="2" t="n">
        <v>87</v>
      </c>
      <c r="J406" s="2">
        <f>IFERROR(VLOOKUP(H406,'Grade Scale'!$A:$B,2,FALSE),0)</f>
        <v/>
      </c>
      <c r="K406" s="2">
        <f>J406*G406</f>
        <v/>
      </c>
      <c r="L406" s="2">
        <f>IF(H406="F",0,G406)</f>
        <v/>
      </c>
    </row>
    <row r="407">
      <c r="A407" s="2" t="inlineStr">
        <is>
          <t>m240110</t>
        </is>
      </c>
      <c r="B407" s="2">
        <f>IFERROR(VLOOKUP(A407,Students!$A:$B,2,FALSE),"")</f>
        <v/>
      </c>
      <c r="C407" s="2" t="inlineStr">
        <is>
          <t>Fall 2024</t>
        </is>
      </c>
      <c r="D407" s="2" t="inlineStr">
        <is>
          <t>Semester 1</t>
        </is>
      </c>
      <c r="E407" s="2" t="inlineStr">
        <is>
          <t>DSC 501</t>
        </is>
      </c>
      <c r="F407" s="2">
        <f>IFERROR(VLOOKUP(E407,Courses!$A:$C,2,FALSE),"")</f>
        <v/>
      </c>
      <c r="G407" s="2">
        <f>IFERROR(VLOOKUP(E407,Courses!$A:$C,3,FALSE),0)</f>
        <v/>
      </c>
      <c r="H407" s="2" t="inlineStr">
        <is>
          <t>A</t>
        </is>
      </c>
      <c r="I407" s="2" t="n">
        <v>99</v>
      </c>
      <c r="J407" s="2">
        <f>IFERROR(VLOOKUP(H407,'Grade Scale'!$A:$B,2,FALSE),0)</f>
        <v/>
      </c>
      <c r="K407" s="2">
        <f>J407*G407</f>
        <v/>
      </c>
      <c r="L407" s="2">
        <f>IF(H407="F",0,G407)</f>
        <v/>
      </c>
    </row>
    <row r="408">
      <c r="A408" s="2" t="inlineStr">
        <is>
          <t>m240110</t>
        </is>
      </c>
      <c r="B408" s="2">
        <f>IFERROR(VLOOKUP(A408,Students!$A:$B,2,FALSE),"")</f>
        <v/>
      </c>
      <c r="C408" s="2" t="inlineStr">
        <is>
          <t>Fall 2024</t>
        </is>
      </c>
      <c r="D408" s="2" t="inlineStr">
        <is>
          <t>Semester 1</t>
        </is>
      </c>
      <c r="E408" s="2" t="inlineStr">
        <is>
          <t>DSC 510</t>
        </is>
      </c>
      <c r="F408" s="2">
        <f>IFERROR(VLOOKUP(E408,Courses!$A:$C,2,FALSE),"")</f>
        <v/>
      </c>
      <c r="G408" s="2">
        <f>IFERROR(VLOOKUP(E408,Courses!$A:$C,3,FALSE),0)</f>
        <v/>
      </c>
      <c r="H408" s="2" t="inlineStr">
        <is>
          <t>A</t>
        </is>
      </c>
      <c r="I408" s="2" t="n">
        <v>98</v>
      </c>
      <c r="J408" s="2">
        <f>IFERROR(VLOOKUP(H408,'Grade Scale'!$A:$B,2,FALSE),0)</f>
        <v/>
      </c>
      <c r="K408" s="2">
        <f>J408*G408</f>
        <v/>
      </c>
      <c r="L408" s="2">
        <f>IF(H408="F",0,G408)</f>
        <v/>
      </c>
    </row>
    <row r="409">
      <c r="A409" s="2" t="inlineStr">
        <is>
          <t>m240110</t>
        </is>
      </c>
      <c r="B409" s="2">
        <f>IFERROR(VLOOKUP(A409,Students!$A:$B,2,FALSE),"")</f>
        <v/>
      </c>
      <c r="C409" s="2" t="inlineStr">
        <is>
          <t>Fall 2024</t>
        </is>
      </c>
      <c r="D409" s="2" t="inlineStr">
        <is>
          <t>Semester 1</t>
        </is>
      </c>
      <c r="E409" s="2" t="inlineStr">
        <is>
          <t>DSC 520</t>
        </is>
      </c>
      <c r="F409" s="2">
        <f>IFERROR(VLOOKUP(E409,Courses!$A:$C,2,FALSE),"")</f>
        <v/>
      </c>
      <c r="G409" s="2">
        <f>IFERROR(VLOOKUP(E409,Courses!$A:$C,3,FALSE),0)</f>
        <v/>
      </c>
      <c r="H409" s="2" t="inlineStr">
        <is>
          <t>A</t>
        </is>
      </c>
      <c r="I409" s="2" t="n">
        <v>100</v>
      </c>
      <c r="J409" s="2">
        <f>IFERROR(VLOOKUP(H409,'Grade Scale'!$A:$B,2,FALSE),0)</f>
        <v/>
      </c>
      <c r="K409" s="2">
        <f>J409*G409</f>
        <v/>
      </c>
      <c r="L409" s="2">
        <f>IF(H409="F",0,G409)</f>
        <v/>
      </c>
    </row>
    <row r="410">
      <c r="A410" s="2" t="inlineStr">
        <is>
          <t>m240110</t>
        </is>
      </c>
      <c r="B410" s="2">
        <f>IFERROR(VLOOKUP(A410,Students!$A:$B,2,FALSE),"")</f>
        <v/>
      </c>
      <c r="C410" s="2" t="inlineStr">
        <is>
          <t>Fall 2024</t>
        </is>
      </c>
      <c r="D410" s="2" t="inlineStr">
        <is>
          <t>Semester 1</t>
        </is>
      </c>
      <c r="E410" s="2" t="inlineStr">
        <is>
          <t>DSC 530</t>
        </is>
      </c>
      <c r="F410" s="2">
        <f>IFERROR(VLOOKUP(E410,Courses!$A:$C,2,FALSE),"")</f>
        <v/>
      </c>
      <c r="G410" s="2">
        <f>IFERROR(VLOOKUP(E410,Courses!$A:$C,3,FALSE),0)</f>
        <v/>
      </c>
      <c r="H410" s="2" t="inlineStr">
        <is>
          <t>B-</t>
        </is>
      </c>
      <c r="I410" s="2" t="n">
        <v>80</v>
      </c>
      <c r="J410" s="2">
        <f>IFERROR(VLOOKUP(H410,'Grade Scale'!$A:$B,2,FALSE),0)</f>
        <v/>
      </c>
      <c r="K410" s="2">
        <f>J410*G410</f>
        <v/>
      </c>
      <c r="L410" s="2">
        <f>IF(H410="F",0,G410)</f>
        <v/>
      </c>
    </row>
    <row r="411">
      <c r="A411" s="2" t="inlineStr">
        <is>
          <t>m240110</t>
        </is>
      </c>
      <c r="B411" s="2">
        <f>IFERROR(VLOOKUP(A411,Students!$A:$B,2,FALSE),"")</f>
        <v/>
      </c>
      <c r="C411" s="2" t="inlineStr">
        <is>
          <t>Fall 2024</t>
        </is>
      </c>
      <c r="D411" s="2" t="inlineStr">
        <is>
          <t>Semester 1</t>
        </is>
      </c>
      <c r="E411" s="2" t="inlineStr">
        <is>
          <t>DSC 540</t>
        </is>
      </c>
      <c r="F411" s="2">
        <f>IFERROR(VLOOKUP(E411,Courses!$A:$C,2,FALSE),"")</f>
        <v/>
      </c>
      <c r="G411" s="2">
        <f>IFERROR(VLOOKUP(E411,Courses!$A:$C,3,FALSE),0)</f>
        <v/>
      </c>
      <c r="H411" s="2" t="inlineStr">
        <is>
          <t>A-</t>
        </is>
      </c>
      <c r="I411" s="2" t="n">
        <v>91</v>
      </c>
      <c r="J411" s="2">
        <f>IFERROR(VLOOKUP(H411,'Grade Scale'!$A:$B,2,FALSE),0)</f>
        <v/>
      </c>
      <c r="K411" s="2">
        <f>J411*G411</f>
        <v/>
      </c>
      <c r="L411" s="2">
        <f>IF(H411="F",0,G411)</f>
        <v/>
      </c>
    </row>
    <row r="412">
      <c r="A412" s="2" t="inlineStr">
        <is>
          <t>m240110</t>
        </is>
      </c>
      <c r="B412" s="2">
        <f>IFERROR(VLOOKUP(A412,Students!$A:$B,2,FALSE),"")</f>
        <v/>
      </c>
      <c r="C412" s="2" t="inlineStr">
        <is>
          <t>Spring 2025</t>
        </is>
      </c>
      <c r="D412" s="2" t="inlineStr">
        <is>
          <t>Semester 2</t>
        </is>
      </c>
      <c r="E412" s="2" t="inlineStr">
        <is>
          <t>DSC 550</t>
        </is>
      </c>
      <c r="F412" s="2">
        <f>IFERROR(VLOOKUP(E412,Courses!$A:$C,2,FALSE),"")</f>
        <v/>
      </c>
      <c r="G412" s="2">
        <f>IFERROR(VLOOKUP(E412,Courses!$A:$C,3,FALSE),0)</f>
        <v/>
      </c>
      <c r="H412" s="2" t="inlineStr">
        <is>
          <t>A-</t>
        </is>
      </c>
      <c r="I412" s="2" t="n">
        <v>92</v>
      </c>
      <c r="J412" s="2">
        <f>IFERROR(VLOOKUP(H412,'Grade Scale'!$A:$B,2,FALSE),0)</f>
        <v/>
      </c>
      <c r="K412" s="2">
        <f>J412*G412</f>
        <v/>
      </c>
      <c r="L412" s="2">
        <f>IF(H412="F",0,G412)</f>
        <v/>
      </c>
    </row>
    <row r="413">
      <c r="A413" s="2" t="inlineStr">
        <is>
          <t>m240110</t>
        </is>
      </c>
      <c r="B413" s="2">
        <f>IFERROR(VLOOKUP(A413,Students!$A:$B,2,FALSE),"")</f>
        <v/>
      </c>
      <c r="C413" s="2" t="inlineStr">
        <is>
          <t>Spring 2025</t>
        </is>
      </c>
      <c r="D413" s="2" t="inlineStr">
        <is>
          <t>Semester 2</t>
        </is>
      </c>
      <c r="E413" s="2" t="inlineStr">
        <is>
          <t>DSC 560</t>
        </is>
      </c>
      <c r="F413" s="2">
        <f>IFERROR(VLOOKUP(E413,Courses!$A:$C,2,FALSE),"")</f>
        <v/>
      </c>
      <c r="G413" s="2">
        <f>IFERROR(VLOOKUP(E413,Courses!$A:$C,3,FALSE),0)</f>
        <v/>
      </c>
      <c r="H413" s="2" t="inlineStr">
        <is>
          <t>A-</t>
        </is>
      </c>
      <c r="I413" s="2" t="n">
        <v>92</v>
      </c>
      <c r="J413" s="2">
        <f>IFERROR(VLOOKUP(H413,'Grade Scale'!$A:$B,2,FALSE),0)</f>
        <v/>
      </c>
      <c r="K413" s="2">
        <f>J413*G413</f>
        <v/>
      </c>
      <c r="L413" s="2">
        <f>IF(H413="F",0,G413)</f>
        <v/>
      </c>
    </row>
    <row r="414">
      <c r="A414" s="2" t="inlineStr">
        <is>
          <t>m240110</t>
        </is>
      </c>
      <c r="B414" s="2">
        <f>IFERROR(VLOOKUP(A414,Students!$A:$B,2,FALSE),"")</f>
        <v/>
      </c>
      <c r="C414" s="2" t="inlineStr">
        <is>
          <t>Spring 2025</t>
        </is>
      </c>
      <c r="D414" s="2" t="inlineStr">
        <is>
          <t>Semester 2</t>
        </is>
      </c>
      <c r="E414" s="2" t="inlineStr">
        <is>
          <t>DSC 570</t>
        </is>
      </c>
      <c r="F414" s="2">
        <f>IFERROR(VLOOKUP(E414,Courses!$A:$C,2,FALSE),"")</f>
        <v/>
      </c>
      <c r="G414" s="2">
        <f>IFERROR(VLOOKUP(E414,Courses!$A:$C,3,FALSE),0)</f>
        <v/>
      </c>
      <c r="H414" s="2" t="inlineStr">
        <is>
          <t>B+</t>
        </is>
      </c>
      <c r="I414" s="2" t="n">
        <v>88</v>
      </c>
      <c r="J414" s="2">
        <f>IFERROR(VLOOKUP(H414,'Grade Scale'!$A:$B,2,FALSE),0)</f>
        <v/>
      </c>
      <c r="K414" s="2">
        <f>J414*G414</f>
        <v/>
      </c>
      <c r="L414" s="2">
        <f>IF(H414="F",0,G414)</f>
        <v/>
      </c>
    </row>
    <row r="415">
      <c r="A415" s="2" t="inlineStr">
        <is>
          <t>m240110</t>
        </is>
      </c>
      <c r="B415" s="2">
        <f>IFERROR(VLOOKUP(A415,Students!$A:$B,2,FALSE),"")</f>
        <v/>
      </c>
      <c r="C415" s="2" t="inlineStr">
        <is>
          <t>Spring 2025</t>
        </is>
      </c>
      <c r="D415" s="2" t="inlineStr">
        <is>
          <t>Semester 2</t>
        </is>
      </c>
      <c r="E415" s="2" t="inlineStr">
        <is>
          <t>DSC 580</t>
        </is>
      </c>
      <c r="F415" s="2">
        <f>IFERROR(VLOOKUP(E415,Courses!$A:$C,2,FALSE),"")</f>
        <v/>
      </c>
      <c r="G415" s="2">
        <f>IFERROR(VLOOKUP(E415,Courses!$A:$C,3,FALSE),0)</f>
        <v/>
      </c>
      <c r="H415" s="2" t="inlineStr">
        <is>
          <t>A</t>
        </is>
      </c>
      <c r="I415" s="2" t="n">
        <v>96</v>
      </c>
      <c r="J415" s="2">
        <f>IFERROR(VLOOKUP(H415,'Grade Scale'!$A:$B,2,FALSE),0)</f>
        <v/>
      </c>
      <c r="K415" s="2">
        <f>J415*G415</f>
        <v/>
      </c>
      <c r="L415" s="2">
        <f>IF(H415="F",0,G415)</f>
        <v/>
      </c>
    </row>
    <row r="416">
      <c r="A416" s="2" t="inlineStr">
        <is>
          <t>m240110</t>
        </is>
      </c>
      <c r="B416" s="2">
        <f>IFERROR(VLOOKUP(A416,Students!$A:$B,2,FALSE),"")</f>
        <v/>
      </c>
      <c r="C416" s="2" t="inlineStr">
        <is>
          <t>Spring 2025</t>
        </is>
      </c>
      <c r="D416" s="2" t="inlineStr">
        <is>
          <t>Semester 2</t>
        </is>
      </c>
      <c r="E416" s="2" t="inlineStr">
        <is>
          <t>DSC 590</t>
        </is>
      </c>
      <c r="F416" s="2">
        <f>IFERROR(VLOOKUP(E416,Courses!$A:$C,2,FALSE),"")</f>
        <v/>
      </c>
      <c r="G416" s="2">
        <f>IFERROR(VLOOKUP(E416,Courses!$A:$C,3,FALSE),0)</f>
        <v/>
      </c>
      <c r="H416" s="2" t="inlineStr">
        <is>
          <t>A</t>
        </is>
      </c>
      <c r="I416" s="2" t="n">
        <v>93</v>
      </c>
      <c r="J416" s="2">
        <f>IFERROR(VLOOKUP(H416,'Grade Scale'!$A:$B,2,FALSE),0)</f>
        <v/>
      </c>
      <c r="K416" s="2">
        <f>J416*G416</f>
        <v/>
      </c>
      <c r="L416" s="2">
        <f>IF(H416="F",0,G416)</f>
        <v/>
      </c>
    </row>
    <row r="417">
      <c r="A417" s="2" t="inlineStr">
        <is>
          <t>m240110</t>
        </is>
      </c>
      <c r="B417" s="2">
        <f>IFERROR(VLOOKUP(A417,Students!$A:$B,2,FALSE),"")</f>
        <v/>
      </c>
      <c r="C417" s="2" t="inlineStr">
        <is>
          <t>Fall 2025</t>
        </is>
      </c>
      <c r="D417" s="2" t="inlineStr">
        <is>
          <t>Semester 3</t>
        </is>
      </c>
      <c r="E417" s="2" t="inlineStr">
        <is>
          <t>DSC 610</t>
        </is>
      </c>
      <c r="F417" s="2">
        <f>IFERROR(VLOOKUP(E417,Courses!$A:$C,2,FALSE),"")</f>
        <v/>
      </c>
      <c r="G417" s="2">
        <f>IFERROR(VLOOKUP(E417,Courses!$A:$C,3,FALSE),0)</f>
        <v/>
      </c>
      <c r="H417" s="2" t="inlineStr">
        <is>
          <t>A</t>
        </is>
      </c>
      <c r="I417" s="2" t="n">
        <v>95</v>
      </c>
      <c r="J417" s="2">
        <f>IFERROR(VLOOKUP(H417,'Grade Scale'!$A:$B,2,FALSE),0)</f>
        <v/>
      </c>
      <c r="K417" s="2">
        <f>J417*G417</f>
        <v/>
      </c>
      <c r="L417" s="2">
        <f>IF(H417="F",0,G417)</f>
        <v/>
      </c>
    </row>
    <row r="418">
      <c r="A418" s="2" t="inlineStr">
        <is>
          <t>m240110</t>
        </is>
      </c>
      <c r="B418" s="2">
        <f>IFERROR(VLOOKUP(A418,Students!$A:$B,2,FALSE),"")</f>
        <v/>
      </c>
      <c r="C418" s="2" t="inlineStr">
        <is>
          <t>Fall 2025</t>
        </is>
      </c>
      <c r="D418" s="2" t="inlineStr">
        <is>
          <t>Semester 3</t>
        </is>
      </c>
      <c r="E418" s="2" t="inlineStr">
        <is>
          <t>DSC 620</t>
        </is>
      </c>
      <c r="F418" s="2">
        <f>IFERROR(VLOOKUP(E418,Courses!$A:$C,2,FALSE),"")</f>
        <v/>
      </c>
      <c r="G418" s="2">
        <f>IFERROR(VLOOKUP(E418,Courses!$A:$C,3,FALSE),0)</f>
        <v/>
      </c>
      <c r="H418" s="2" t="inlineStr">
        <is>
          <t>A-</t>
        </is>
      </c>
      <c r="I418" s="2" t="n">
        <v>90</v>
      </c>
      <c r="J418" s="2">
        <f>IFERROR(VLOOKUP(H418,'Grade Scale'!$A:$B,2,FALSE),0)</f>
        <v/>
      </c>
      <c r="K418" s="2">
        <f>J418*G418</f>
        <v/>
      </c>
      <c r="L418" s="2">
        <f>IF(H418="F",0,G418)</f>
        <v/>
      </c>
    </row>
    <row r="419">
      <c r="A419" s="2" t="inlineStr">
        <is>
          <t>m240110</t>
        </is>
      </c>
      <c r="B419" s="2">
        <f>IFERROR(VLOOKUP(A419,Students!$A:$B,2,FALSE),"")</f>
        <v/>
      </c>
      <c r="C419" s="2" t="inlineStr">
        <is>
          <t>Fall 2025</t>
        </is>
      </c>
      <c r="D419" s="2" t="inlineStr">
        <is>
          <t>Semester 3</t>
        </is>
      </c>
      <c r="E419" s="2" t="inlineStr">
        <is>
          <t>DSC 630</t>
        </is>
      </c>
      <c r="F419" s="2">
        <f>IFERROR(VLOOKUP(E419,Courses!$A:$C,2,FALSE),"")</f>
        <v/>
      </c>
      <c r="G419" s="2">
        <f>IFERROR(VLOOKUP(E419,Courses!$A:$C,3,FALSE),0)</f>
        <v/>
      </c>
      <c r="H419" s="2" t="inlineStr">
        <is>
          <t>A-</t>
        </is>
      </c>
      <c r="I419" s="2" t="n">
        <v>90</v>
      </c>
      <c r="J419" s="2">
        <f>IFERROR(VLOOKUP(H419,'Grade Scale'!$A:$B,2,FALSE),0)</f>
        <v/>
      </c>
      <c r="K419" s="2">
        <f>J419*G419</f>
        <v/>
      </c>
      <c r="L419" s="2">
        <f>IF(H419="F",0,G419)</f>
        <v/>
      </c>
    </row>
    <row r="420">
      <c r="A420" s="2" t="inlineStr">
        <is>
          <t>m240110</t>
        </is>
      </c>
      <c r="B420" s="2">
        <f>IFERROR(VLOOKUP(A420,Students!$A:$B,2,FALSE),"")</f>
        <v/>
      </c>
      <c r="C420" s="2" t="inlineStr">
        <is>
          <t>Fall 2025</t>
        </is>
      </c>
      <c r="D420" s="2" t="inlineStr">
        <is>
          <t>Semester 3</t>
        </is>
      </c>
      <c r="E420" s="2" t="inlineStr">
        <is>
          <t>DSC 640</t>
        </is>
      </c>
      <c r="F420" s="2">
        <f>IFERROR(VLOOKUP(E420,Courses!$A:$C,2,FALSE),"")</f>
        <v/>
      </c>
      <c r="G420" s="2">
        <f>IFERROR(VLOOKUP(E420,Courses!$A:$C,3,FALSE),0)</f>
        <v/>
      </c>
      <c r="H420" s="2" t="inlineStr">
        <is>
          <t>A</t>
        </is>
      </c>
      <c r="I420" s="2" t="n">
        <v>99</v>
      </c>
      <c r="J420" s="2">
        <f>IFERROR(VLOOKUP(H420,'Grade Scale'!$A:$B,2,FALSE),0)</f>
        <v/>
      </c>
      <c r="K420" s="2">
        <f>J420*G420</f>
        <v/>
      </c>
      <c r="L420" s="2">
        <f>IF(H420="F",0,G420)</f>
        <v/>
      </c>
    </row>
    <row r="421">
      <c r="A421" s="2" t="inlineStr">
        <is>
          <t>m240110</t>
        </is>
      </c>
      <c r="B421" s="2">
        <f>IFERROR(VLOOKUP(A421,Students!$A:$B,2,FALSE),"")</f>
        <v/>
      </c>
      <c r="C421" s="2" t="inlineStr">
        <is>
          <t>Fall 2025</t>
        </is>
      </c>
      <c r="D421" s="2" t="inlineStr">
        <is>
          <t>Semester 3</t>
        </is>
      </c>
      <c r="E421" s="2" t="inlineStr">
        <is>
          <t>DSC 690</t>
        </is>
      </c>
      <c r="F421" s="2">
        <f>IFERROR(VLOOKUP(E421,Courses!$A:$C,2,FALSE),"")</f>
        <v/>
      </c>
      <c r="G421" s="2">
        <f>IFERROR(VLOOKUP(E421,Courses!$A:$C,3,FALSE),0)</f>
        <v/>
      </c>
      <c r="H421" s="2" t="inlineStr">
        <is>
          <t>A-</t>
        </is>
      </c>
      <c r="I421" s="2" t="n">
        <v>91</v>
      </c>
      <c r="J421" s="2">
        <f>IFERROR(VLOOKUP(H421,'Grade Scale'!$A:$B,2,FALSE),0)</f>
        <v/>
      </c>
      <c r="K421" s="2">
        <f>J421*G421</f>
        <v/>
      </c>
      <c r="L421" s="2">
        <f>IF(H421="F",0,G421)</f>
        <v/>
      </c>
    </row>
    <row r="422">
      <c r="A422" s="2" t="inlineStr">
        <is>
          <t>m240110</t>
        </is>
      </c>
      <c r="B422" s="2">
        <f>IFERROR(VLOOKUP(A422,Students!$A:$B,2,FALSE),"")</f>
        <v/>
      </c>
      <c r="C422" s="2" t="inlineStr">
        <is>
          <t>Spring 2026</t>
        </is>
      </c>
      <c r="D422" s="2" t="inlineStr">
        <is>
          <t>Semester 4</t>
        </is>
      </c>
      <c r="E422" s="2" t="inlineStr">
        <is>
          <t>DSC 650</t>
        </is>
      </c>
      <c r="F422" s="2">
        <f>IFERROR(VLOOKUP(E422,Courses!$A:$C,2,FALSE),"")</f>
        <v/>
      </c>
      <c r="G422" s="2">
        <f>IFERROR(VLOOKUP(E422,Courses!$A:$C,3,FALSE),0)</f>
        <v/>
      </c>
      <c r="H422" s="2" t="inlineStr">
        <is>
          <t>A</t>
        </is>
      </c>
      <c r="I422" s="2" t="n">
        <v>99</v>
      </c>
      <c r="J422" s="2">
        <f>IFERROR(VLOOKUP(H422,'Grade Scale'!$A:$B,2,FALSE),0)</f>
        <v/>
      </c>
      <c r="K422" s="2">
        <f>J422*G422</f>
        <v/>
      </c>
      <c r="L422" s="2">
        <f>IF(H422="F",0,G422)</f>
        <v/>
      </c>
    </row>
    <row r="423">
      <c r="A423" s="2" t="inlineStr">
        <is>
          <t>m240110</t>
        </is>
      </c>
      <c r="B423" s="2">
        <f>IFERROR(VLOOKUP(A423,Students!$A:$B,2,FALSE),"")</f>
        <v/>
      </c>
      <c r="C423" s="2" t="inlineStr">
        <is>
          <t>Spring 2026</t>
        </is>
      </c>
      <c r="D423" s="2" t="inlineStr">
        <is>
          <t>Semester 4</t>
        </is>
      </c>
      <c r="E423" s="2" t="inlineStr">
        <is>
          <t>DSC 660</t>
        </is>
      </c>
      <c r="F423" s="2">
        <f>IFERROR(VLOOKUP(E423,Courses!$A:$C,2,FALSE),"")</f>
        <v/>
      </c>
      <c r="G423" s="2">
        <f>IFERROR(VLOOKUP(E423,Courses!$A:$C,3,FALSE),0)</f>
        <v/>
      </c>
      <c r="H423" s="2" t="inlineStr">
        <is>
          <t>B</t>
        </is>
      </c>
      <c r="I423" s="2" t="n">
        <v>85</v>
      </c>
      <c r="J423" s="2">
        <f>IFERROR(VLOOKUP(H423,'Grade Scale'!$A:$B,2,FALSE),0)</f>
        <v/>
      </c>
      <c r="K423" s="2">
        <f>J423*G423</f>
        <v/>
      </c>
      <c r="L423" s="2">
        <f>IF(H423="F",0,G423)</f>
        <v/>
      </c>
    </row>
    <row r="424">
      <c r="A424" s="2" t="inlineStr">
        <is>
          <t>m240110</t>
        </is>
      </c>
      <c r="B424" s="2">
        <f>IFERROR(VLOOKUP(A424,Students!$A:$B,2,FALSE),"")</f>
        <v/>
      </c>
      <c r="C424" s="2" t="inlineStr">
        <is>
          <t>Spring 2026</t>
        </is>
      </c>
      <c r="D424" s="2" t="inlineStr">
        <is>
          <t>Semester 4</t>
        </is>
      </c>
      <c r="E424" s="2" t="inlineStr">
        <is>
          <t>DSC 670</t>
        </is>
      </c>
      <c r="F424" s="2">
        <f>IFERROR(VLOOKUP(E424,Courses!$A:$C,2,FALSE),"")</f>
        <v/>
      </c>
      <c r="G424" s="2">
        <f>IFERROR(VLOOKUP(E424,Courses!$A:$C,3,FALSE),0)</f>
        <v/>
      </c>
      <c r="H424" s="2" t="inlineStr">
        <is>
          <t>B</t>
        </is>
      </c>
      <c r="I424" s="2" t="n">
        <v>86</v>
      </c>
      <c r="J424" s="2">
        <f>IFERROR(VLOOKUP(H424,'Grade Scale'!$A:$B,2,FALSE),0)</f>
        <v/>
      </c>
      <c r="K424" s="2">
        <f>J424*G424</f>
        <v/>
      </c>
      <c r="L424" s="2">
        <f>IF(H424="F",0,G424)</f>
        <v/>
      </c>
    </row>
    <row r="425">
      <c r="A425" s="2" t="inlineStr">
        <is>
          <t>m240110</t>
        </is>
      </c>
      <c r="B425" s="2">
        <f>IFERROR(VLOOKUP(A425,Students!$A:$B,2,FALSE),"")</f>
        <v/>
      </c>
      <c r="C425" s="2" t="inlineStr">
        <is>
          <t>Spring 2026</t>
        </is>
      </c>
      <c r="D425" s="2" t="inlineStr">
        <is>
          <t>Semester 4</t>
        </is>
      </c>
      <c r="E425" s="2" t="inlineStr">
        <is>
          <t>DSC 680</t>
        </is>
      </c>
      <c r="F425" s="2">
        <f>IFERROR(VLOOKUP(E425,Courses!$A:$C,2,FALSE),"")</f>
        <v/>
      </c>
      <c r="G425" s="2">
        <f>IFERROR(VLOOKUP(E425,Courses!$A:$C,3,FALSE),0)</f>
        <v/>
      </c>
      <c r="H425" s="2" t="inlineStr">
        <is>
          <t>A</t>
        </is>
      </c>
      <c r="I425" s="2" t="n">
        <v>98</v>
      </c>
      <c r="J425" s="2">
        <f>IFERROR(VLOOKUP(H425,'Grade Scale'!$A:$B,2,FALSE),0)</f>
        <v/>
      </c>
      <c r="K425" s="2">
        <f>J425*G425</f>
        <v/>
      </c>
      <c r="L425" s="2">
        <f>IF(H425="F",0,G425)</f>
        <v/>
      </c>
    </row>
    <row r="426">
      <c r="A426" s="2" t="inlineStr">
        <is>
          <t>m240110</t>
        </is>
      </c>
      <c r="B426" s="2">
        <f>IFERROR(VLOOKUP(A426,Students!$A:$B,2,FALSE),"")</f>
        <v/>
      </c>
      <c r="C426" s="2" t="inlineStr">
        <is>
          <t>Spring 2026</t>
        </is>
      </c>
      <c r="D426" s="2" t="inlineStr">
        <is>
          <t>Semester 4</t>
        </is>
      </c>
      <c r="E426" s="2" t="inlineStr">
        <is>
          <t>DSC 699</t>
        </is>
      </c>
      <c r="F426" s="2">
        <f>IFERROR(VLOOKUP(E426,Courses!$A:$C,2,FALSE),"")</f>
        <v/>
      </c>
      <c r="G426" s="2">
        <f>IFERROR(VLOOKUP(E426,Courses!$A:$C,3,FALSE),0)</f>
        <v/>
      </c>
      <c r="H426" s="2" t="inlineStr">
        <is>
          <t>B+</t>
        </is>
      </c>
      <c r="I426" s="2" t="n">
        <v>89</v>
      </c>
      <c r="J426" s="2">
        <f>IFERROR(VLOOKUP(H426,'Grade Scale'!$A:$B,2,FALSE),0)</f>
        <v/>
      </c>
      <c r="K426" s="2">
        <f>J426*G426</f>
        <v/>
      </c>
      <c r="L426" s="2">
        <f>IF(H426="F",0,G426)</f>
        <v/>
      </c>
    </row>
    <row r="427">
      <c r="A427" s="2" t="inlineStr">
        <is>
          <t>m250212</t>
        </is>
      </c>
      <c r="B427" s="2">
        <f>IFERROR(VLOOKUP(A427,Students!$A:$B,2,FALSE),"")</f>
        <v/>
      </c>
      <c r="C427" s="2" t="inlineStr">
        <is>
          <t>Spring 2025</t>
        </is>
      </c>
      <c r="D427" s="2" t="inlineStr">
        <is>
          <t>Semester 1</t>
        </is>
      </c>
      <c r="E427" s="2" t="inlineStr">
        <is>
          <t>ECO 101</t>
        </is>
      </c>
      <c r="F427" s="2">
        <f>IFERROR(VLOOKUP(E427,Courses!$A:$C,2,FALSE),"")</f>
        <v/>
      </c>
      <c r="G427" s="2">
        <f>IFERROR(VLOOKUP(E427,Courses!$A:$C,3,FALSE),0)</f>
        <v/>
      </c>
      <c r="H427" s="2" t="inlineStr">
        <is>
          <t>D+</t>
        </is>
      </c>
      <c r="I427" s="2" t="n">
        <v>69</v>
      </c>
      <c r="J427" s="2">
        <f>IFERROR(VLOOKUP(H427,'Grade Scale'!$A:$B,2,FALSE),0)</f>
        <v/>
      </c>
      <c r="K427" s="2">
        <f>J427*G427</f>
        <v/>
      </c>
      <c r="L427" s="2">
        <f>IF(H427="F",0,G427)</f>
        <v/>
      </c>
    </row>
    <row r="428">
      <c r="A428" s="2" t="inlineStr">
        <is>
          <t>m250212</t>
        </is>
      </c>
      <c r="B428" s="2">
        <f>IFERROR(VLOOKUP(A428,Students!$A:$B,2,FALSE),"")</f>
        <v/>
      </c>
      <c r="C428" s="2" t="inlineStr">
        <is>
          <t>Spring 2025</t>
        </is>
      </c>
      <c r="D428" s="2" t="inlineStr">
        <is>
          <t>Semester 1</t>
        </is>
      </c>
      <c r="E428" s="2" t="inlineStr">
        <is>
          <t>ACC 101</t>
        </is>
      </c>
      <c r="F428" s="2">
        <f>IFERROR(VLOOKUP(E428,Courses!$A:$C,2,FALSE),"")</f>
        <v/>
      </c>
      <c r="G428" s="2">
        <f>IFERROR(VLOOKUP(E428,Courses!$A:$C,3,FALSE),0)</f>
        <v/>
      </c>
      <c r="H428" s="2" t="inlineStr">
        <is>
          <t>C</t>
        </is>
      </c>
      <c r="I428" s="2" t="n">
        <v>76</v>
      </c>
      <c r="J428" s="2">
        <f>IFERROR(VLOOKUP(H428,'Grade Scale'!$A:$B,2,FALSE),0)</f>
        <v/>
      </c>
      <c r="K428" s="2">
        <f>J428*G428</f>
        <v/>
      </c>
      <c r="L428" s="2">
        <f>IF(H428="F",0,G428)</f>
        <v/>
      </c>
    </row>
    <row r="429">
      <c r="A429" s="2" t="inlineStr">
        <is>
          <t>m250212</t>
        </is>
      </c>
      <c r="B429" s="2">
        <f>IFERROR(VLOOKUP(A429,Students!$A:$B,2,FALSE),"")</f>
        <v/>
      </c>
      <c r="C429" s="2" t="inlineStr">
        <is>
          <t>Spring 2025</t>
        </is>
      </c>
      <c r="D429" s="2" t="inlineStr">
        <is>
          <t>Semester 1</t>
        </is>
      </c>
      <c r="E429" s="2" t="inlineStr">
        <is>
          <t>MTH 105</t>
        </is>
      </c>
      <c r="F429" s="2">
        <f>IFERROR(VLOOKUP(E429,Courses!$A:$C,2,FALSE),"")</f>
        <v/>
      </c>
      <c r="G429" s="2">
        <f>IFERROR(VLOOKUP(E429,Courses!$A:$C,3,FALSE),0)</f>
        <v/>
      </c>
      <c r="H429" s="2" t="inlineStr">
        <is>
          <t>C-</t>
        </is>
      </c>
      <c r="I429" s="2" t="n">
        <v>71</v>
      </c>
      <c r="J429" s="2">
        <f>IFERROR(VLOOKUP(H429,'Grade Scale'!$A:$B,2,FALSE),0)</f>
        <v/>
      </c>
      <c r="K429" s="2">
        <f>J429*G429</f>
        <v/>
      </c>
      <c r="L429" s="2">
        <f>IF(H429="F",0,G429)</f>
        <v/>
      </c>
    </row>
    <row r="430">
      <c r="A430" s="2" t="inlineStr">
        <is>
          <t>m250212</t>
        </is>
      </c>
      <c r="B430" s="2">
        <f>IFERROR(VLOOKUP(A430,Students!$A:$B,2,FALSE),"")</f>
        <v/>
      </c>
      <c r="C430" s="2" t="inlineStr">
        <is>
          <t>Spring 2025</t>
        </is>
      </c>
      <c r="D430" s="2" t="inlineStr">
        <is>
          <t>Semester 1</t>
        </is>
      </c>
      <c r="E430" s="2" t="inlineStr">
        <is>
          <t>ENG 101</t>
        </is>
      </c>
      <c r="F430" s="2">
        <f>IFERROR(VLOOKUP(E430,Courses!$A:$C,2,FALSE),"")</f>
        <v/>
      </c>
      <c r="G430" s="2">
        <f>IFERROR(VLOOKUP(E430,Courses!$A:$C,3,FALSE),0)</f>
        <v/>
      </c>
      <c r="H430" s="2" t="inlineStr">
        <is>
          <t>D</t>
        </is>
      </c>
      <c r="I430" s="2" t="n">
        <v>62</v>
      </c>
      <c r="J430" s="2">
        <f>IFERROR(VLOOKUP(H430,'Grade Scale'!$A:$B,2,FALSE),0)</f>
        <v/>
      </c>
      <c r="K430" s="2">
        <f>J430*G430</f>
        <v/>
      </c>
      <c r="L430" s="2">
        <f>IF(H430="F",0,G430)</f>
        <v/>
      </c>
    </row>
    <row r="431">
      <c r="A431" s="2" t="inlineStr">
        <is>
          <t>m250212</t>
        </is>
      </c>
      <c r="B431" s="2">
        <f>IFERROR(VLOOKUP(A431,Students!$A:$B,2,FALSE),"")</f>
        <v/>
      </c>
      <c r="C431" s="2" t="inlineStr">
        <is>
          <t>Spring 2025</t>
        </is>
      </c>
      <c r="D431" s="2" t="inlineStr">
        <is>
          <t>Semester 1</t>
        </is>
      </c>
      <c r="E431" s="2" t="inlineStr">
        <is>
          <t>FIN 100</t>
        </is>
      </c>
      <c r="F431" s="2">
        <f>IFERROR(VLOOKUP(E431,Courses!$A:$C,2,FALSE),"")</f>
        <v/>
      </c>
      <c r="G431" s="2">
        <f>IFERROR(VLOOKUP(E431,Courses!$A:$C,3,FALSE),0)</f>
        <v/>
      </c>
      <c r="H431" s="2" t="inlineStr">
        <is>
          <t>C-</t>
        </is>
      </c>
      <c r="I431" s="2" t="n">
        <v>72</v>
      </c>
      <c r="J431" s="2">
        <f>IFERROR(VLOOKUP(H431,'Grade Scale'!$A:$B,2,FALSE),0)</f>
        <v/>
      </c>
      <c r="K431" s="2">
        <f>J431*G431</f>
        <v/>
      </c>
      <c r="L431" s="2">
        <f>IF(H431="F",0,G431)</f>
        <v/>
      </c>
    </row>
    <row r="432">
      <c r="A432" s="2" t="inlineStr">
        <is>
          <t>m250212</t>
        </is>
      </c>
      <c r="B432" s="2">
        <f>IFERROR(VLOOKUP(A432,Students!$A:$B,2,FALSE),"")</f>
        <v/>
      </c>
      <c r="C432" s="2" t="inlineStr">
        <is>
          <t>Fall 2025</t>
        </is>
      </c>
      <c r="D432" s="2" t="inlineStr">
        <is>
          <t>Semester 2</t>
        </is>
      </c>
      <c r="E432" s="2" t="inlineStr">
        <is>
          <t>ECO 102</t>
        </is>
      </c>
      <c r="F432" s="2">
        <f>IFERROR(VLOOKUP(E432,Courses!$A:$C,2,FALSE),"")</f>
        <v/>
      </c>
      <c r="G432" s="2">
        <f>IFERROR(VLOOKUP(E432,Courses!$A:$C,3,FALSE),0)</f>
        <v/>
      </c>
      <c r="H432" s="2" t="inlineStr">
        <is>
          <t>C-</t>
        </is>
      </c>
      <c r="I432" s="2" t="n">
        <v>70</v>
      </c>
      <c r="J432" s="2">
        <f>IFERROR(VLOOKUP(H432,'Grade Scale'!$A:$B,2,FALSE),0)</f>
        <v/>
      </c>
      <c r="K432" s="2">
        <f>J432*G432</f>
        <v/>
      </c>
      <c r="L432" s="2">
        <f>IF(H432="F",0,G432)</f>
        <v/>
      </c>
    </row>
    <row r="433">
      <c r="A433" s="2" t="inlineStr">
        <is>
          <t>m250212</t>
        </is>
      </c>
      <c r="B433" s="2">
        <f>IFERROR(VLOOKUP(A433,Students!$A:$B,2,FALSE),"")</f>
        <v/>
      </c>
      <c r="C433" s="2" t="inlineStr">
        <is>
          <t>Fall 2025</t>
        </is>
      </c>
      <c r="D433" s="2" t="inlineStr">
        <is>
          <t>Semester 2</t>
        </is>
      </c>
      <c r="E433" s="2" t="inlineStr">
        <is>
          <t>ACC 102</t>
        </is>
      </c>
      <c r="F433" s="2">
        <f>IFERROR(VLOOKUP(E433,Courses!$A:$C,2,FALSE),"")</f>
        <v/>
      </c>
      <c r="G433" s="2">
        <f>IFERROR(VLOOKUP(E433,Courses!$A:$C,3,FALSE),0)</f>
        <v/>
      </c>
      <c r="H433" s="2" t="inlineStr">
        <is>
          <t>D+</t>
        </is>
      </c>
      <c r="I433" s="2" t="n">
        <v>67</v>
      </c>
      <c r="J433" s="2">
        <f>IFERROR(VLOOKUP(H433,'Grade Scale'!$A:$B,2,FALSE),0)</f>
        <v/>
      </c>
      <c r="K433" s="2">
        <f>J433*G433</f>
        <v/>
      </c>
      <c r="L433" s="2">
        <f>IF(H433="F",0,G433)</f>
        <v/>
      </c>
    </row>
    <row r="434">
      <c r="A434" s="2" t="inlineStr">
        <is>
          <t>m250212</t>
        </is>
      </c>
      <c r="B434" s="2">
        <f>IFERROR(VLOOKUP(A434,Students!$A:$B,2,FALSE),"")</f>
        <v/>
      </c>
      <c r="C434" s="2" t="inlineStr">
        <is>
          <t>Fall 2025</t>
        </is>
      </c>
      <c r="D434" s="2" t="inlineStr">
        <is>
          <t>Semester 2</t>
        </is>
      </c>
      <c r="E434" s="2" t="inlineStr">
        <is>
          <t>STA 110</t>
        </is>
      </c>
      <c r="F434" s="2">
        <f>IFERROR(VLOOKUP(E434,Courses!$A:$C,2,FALSE),"")</f>
        <v/>
      </c>
      <c r="G434" s="2">
        <f>IFERROR(VLOOKUP(E434,Courses!$A:$C,3,FALSE),0)</f>
        <v/>
      </c>
      <c r="H434" s="2" t="inlineStr">
        <is>
          <t>C-</t>
        </is>
      </c>
      <c r="I434" s="2" t="n">
        <v>71</v>
      </c>
      <c r="J434" s="2">
        <f>IFERROR(VLOOKUP(H434,'Grade Scale'!$A:$B,2,FALSE),0)</f>
        <v/>
      </c>
      <c r="K434" s="2">
        <f>J434*G434</f>
        <v/>
      </c>
      <c r="L434" s="2">
        <f>IF(H434="F",0,G434)</f>
        <v/>
      </c>
    </row>
    <row r="435">
      <c r="A435" s="2" t="inlineStr">
        <is>
          <t>m250212</t>
        </is>
      </c>
      <c r="B435" s="2">
        <f>IFERROR(VLOOKUP(A435,Students!$A:$B,2,FALSE),"")</f>
        <v/>
      </c>
      <c r="C435" s="2" t="inlineStr">
        <is>
          <t>Fall 2025</t>
        </is>
      </c>
      <c r="D435" s="2" t="inlineStr">
        <is>
          <t>Semester 2</t>
        </is>
      </c>
      <c r="E435" s="2" t="inlineStr">
        <is>
          <t>ENG 102</t>
        </is>
      </c>
      <c r="F435" s="2">
        <f>IFERROR(VLOOKUP(E435,Courses!$A:$C,2,FALSE),"")</f>
        <v/>
      </c>
      <c r="G435" s="2">
        <f>IFERROR(VLOOKUP(E435,Courses!$A:$C,3,FALSE),0)</f>
        <v/>
      </c>
      <c r="H435" s="2" t="inlineStr">
        <is>
          <t>C-</t>
        </is>
      </c>
      <c r="I435" s="2" t="n">
        <v>72</v>
      </c>
      <c r="J435" s="2">
        <f>IFERROR(VLOOKUP(H435,'Grade Scale'!$A:$B,2,FALSE),0)</f>
        <v/>
      </c>
      <c r="K435" s="2">
        <f>J435*G435</f>
        <v/>
      </c>
      <c r="L435" s="2">
        <f>IF(H435="F",0,G435)</f>
        <v/>
      </c>
    </row>
    <row r="436">
      <c r="A436" s="2" t="inlineStr">
        <is>
          <t>m250212</t>
        </is>
      </c>
      <c r="B436" s="2">
        <f>IFERROR(VLOOKUP(A436,Students!$A:$B,2,FALSE),"")</f>
        <v/>
      </c>
      <c r="C436" s="2" t="inlineStr">
        <is>
          <t>Fall 2025</t>
        </is>
      </c>
      <c r="D436" s="2" t="inlineStr">
        <is>
          <t>Semester 2</t>
        </is>
      </c>
      <c r="E436" s="2" t="inlineStr">
        <is>
          <t>FIN 150</t>
        </is>
      </c>
      <c r="F436" s="2">
        <f>IFERROR(VLOOKUP(E436,Courses!$A:$C,2,FALSE),"")</f>
        <v/>
      </c>
      <c r="G436" s="2">
        <f>IFERROR(VLOOKUP(E436,Courses!$A:$C,3,FALSE),0)</f>
        <v/>
      </c>
      <c r="H436" s="2" t="inlineStr">
        <is>
          <t>C</t>
        </is>
      </c>
      <c r="I436" s="2" t="n">
        <v>73</v>
      </c>
      <c r="J436" s="2">
        <f>IFERROR(VLOOKUP(H436,'Grade Scale'!$A:$B,2,FALSE),0)</f>
        <v/>
      </c>
      <c r="K436" s="2">
        <f>J436*G436</f>
        <v/>
      </c>
      <c r="L436" s="2">
        <f>IF(H436="F",0,G436)</f>
        <v/>
      </c>
    </row>
    <row r="437">
      <c r="A437" s="2" t="inlineStr">
        <is>
          <t>m250212</t>
        </is>
      </c>
      <c r="B437" s="2">
        <f>IFERROR(VLOOKUP(A437,Students!$A:$B,2,FALSE),"")</f>
        <v/>
      </c>
      <c r="C437" s="2" t="inlineStr">
        <is>
          <t>Spring 2026</t>
        </is>
      </c>
      <c r="D437" s="2" t="inlineStr">
        <is>
          <t>Semester 3</t>
        </is>
      </c>
      <c r="E437" s="2" t="inlineStr">
        <is>
          <t>FIN 210</t>
        </is>
      </c>
      <c r="F437" s="2">
        <f>IFERROR(VLOOKUP(E437,Courses!$A:$C,2,FALSE),"")</f>
        <v/>
      </c>
      <c r="G437" s="2">
        <f>IFERROR(VLOOKUP(E437,Courses!$A:$C,3,FALSE),0)</f>
        <v/>
      </c>
      <c r="H437" s="2" t="inlineStr">
        <is>
          <t>C-</t>
        </is>
      </c>
      <c r="I437" s="2" t="n">
        <v>70</v>
      </c>
      <c r="J437" s="2">
        <f>IFERROR(VLOOKUP(H437,'Grade Scale'!$A:$B,2,FALSE),0)</f>
        <v/>
      </c>
      <c r="K437" s="2">
        <f>J437*G437</f>
        <v/>
      </c>
      <c r="L437" s="2">
        <f>IF(H437="F",0,G437)</f>
        <v/>
      </c>
    </row>
    <row r="438">
      <c r="A438" s="2" t="inlineStr">
        <is>
          <t>m250212</t>
        </is>
      </c>
      <c r="B438" s="2">
        <f>IFERROR(VLOOKUP(A438,Students!$A:$B,2,FALSE),"")</f>
        <v/>
      </c>
      <c r="C438" s="2" t="inlineStr">
        <is>
          <t>Spring 2026</t>
        </is>
      </c>
      <c r="D438" s="2" t="inlineStr">
        <is>
          <t>Semester 3</t>
        </is>
      </c>
      <c r="E438" s="2" t="inlineStr">
        <is>
          <t>FIN 220</t>
        </is>
      </c>
      <c r="F438" s="2">
        <f>IFERROR(VLOOKUP(E438,Courses!$A:$C,2,FALSE),"")</f>
        <v/>
      </c>
      <c r="G438" s="2">
        <f>IFERROR(VLOOKUP(E438,Courses!$A:$C,3,FALSE),0)</f>
        <v/>
      </c>
      <c r="H438" s="2" t="inlineStr">
        <is>
          <t>D+</t>
        </is>
      </c>
      <c r="I438" s="2" t="n">
        <v>68</v>
      </c>
      <c r="J438" s="2">
        <f>IFERROR(VLOOKUP(H438,'Grade Scale'!$A:$B,2,FALSE),0)</f>
        <v/>
      </c>
      <c r="K438" s="2">
        <f>J438*G438</f>
        <v/>
      </c>
      <c r="L438" s="2">
        <f>IF(H438="F",0,G438)</f>
        <v/>
      </c>
    </row>
    <row r="439">
      <c r="A439" s="2" t="inlineStr">
        <is>
          <t>m250212</t>
        </is>
      </c>
      <c r="B439" s="2">
        <f>IFERROR(VLOOKUP(A439,Students!$A:$B,2,FALSE),"")</f>
        <v/>
      </c>
      <c r="C439" s="2" t="inlineStr">
        <is>
          <t>Spring 2026</t>
        </is>
      </c>
      <c r="D439" s="2" t="inlineStr">
        <is>
          <t>Semester 3</t>
        </is>
      </c>
      <c r="E439" s="2" t="inlineStr">
        <is>
          <t>FIN 230</t>
        </is>
      </c>
      <c r="F439" s="2">
        <f>IFERROR(VLOOKUP(E439,Courses!$A:$C,2,FALSE),"")</f>
        <v/>
      </c>
      <c r="G439" s="2">
        <f>IFERROR(VLOOKUP(E439,Courses!$A:$C,3,FALSE),0)</f>
        <v/>
      </c>
      <c r="H439" s="2" t="inlineStr">
        <is>
          <t>C</t>
        </is>
      </c>
      <c r="I439" s="2" t="n">
        <v>73</v>
      </c>
      <c r="J439" s="2">
        <f>IFERROR(VLOOKUP(H439,'Grade Scale'!$A:$B,2,FALSE),0)</f>
        <v/>
      </c>
      <c r="K439" s="2">
        <f>J439*G439</f>
        <v/>
      </c>
      <c r="L439" s="2">
        <f>IF(H439="F",0,G439)</f>
        <v/>
      </c>
    </row>
    <row r="440">
      <c r="A440" s="2" t="inlineStr">
        <is>
          <t>m250212</t>
        </is>
      </c>
      <c r="B440" s="2">
        <f>IFERROR(VLOOKUP(A440,Students!$A:$B,2,FALSE),"")</f>
        <v/>
      </c>
      <c r="C440" s="2" t="inlineStr">
        <is>
          <t>Spring 2026</t>
        </is>
      </c>
      <c r="D440" s="2" t="inlineStr">
        <is>
          <t>Semester 3</t>
        </is>
      </c>
      <c r="E440" s="2" t="inlineStr">
        <is>
          <t>ECO 210</t>
        </is>
      </c>
      <c r="F440" s="2">
        <f>IFERROR(VLOOKUP(E440,Courses!$A:$C,2,FALSE),"")</f>
        <v/>
      </c>
      <c r="G440" s="2">
        <f>IFERROR(VLOOKUP(E440,Courses!$A:$C,3,FALSE),0)</f>
        <v/>
      </c>
      <c r="H440" s="2" t="inlineStr">
        <is>
          <t>C</t>
        </is>
      </c>
      <c r="I440" s="2" t="n">
        <v>73</v>
      </c>
      <c r="J440" s="2">
        <f>IFERROR(VLOOKUP(H440,'Grade Scale'!$A:$B,2,FALSE),0)</f>
        <v/>
      </c>
      <c r="K440" s="2">
        <f>J440*G440</f>
        <v/>
      </c>
      <c r="L440" s="2">
        <f>IF(H440="F",0,G440)</f>
        <v/>
      </c>
    </row>
    <row r="441">
      <c r="A441" s="2" t="inlineStr">
        <is>
          <t>m250212</t>
        </is>
      </c>
      <c r="B441" s="2">
        <f>IFERROR(VLOOKUP(A441,Students!$A:$B,2,FALSE),"")</f>
        <v/>
      </c>
      <c r="C441" s="2" t="inlineStr">
        <is>
          <t>Spring 2026</t>
        </is>
      </c>
      <c r="D441" s="2" t="inlineStr">
        <is>
          <t>Semester 3</t>
        </is>
      </c>
      <c r="E441" s="2" t="inlineStr">
        <is>
          <t>LAW 201</t>
        </is>
      </c>
      <c r="F441" s="2">
        <f>IFERROR(VLOOKUP(E441,Courses!$A:$C,2,FALSE),"")</f>
        <v/>
      </c>
      <c r="G441" s="2">
        <f>IFERROR(VLOOKUP(E441,Courses!$A:$C,3,FALSE),0)</f>
        <v/>
      </c>
      <c r="H441" s="2" t="inlineStr">
        <is>
          <t>D+</t>
        </is>
      </c>
      <c r="I441" s="2" t="n">
        <v>69</v>
      </c>
      <c r="J441" s="2">
        <f>IFERROR(VLOOKUP(H441,'Grade Scale'!$A:$B,2,FALSE),0)</f>
        <v/>
      </c>
      <c r="K441" s="2">
        <f>J441*G441</f>
        <v/>
      </c>
      <c r="L441" s="2">
        <f>IF(H441="F",0,G441)</f>
        <v/>
      </c>
    </row>
    <row r="442">
      <c r="A442" s="2" t="inlineStr">
        <is>
          <t>m250308</t>
        </is>
      </c>
      <c r="B442" s="2">
        <f>IFERROR(VLOOKUP(A442,Students!$A:$B,2,FALSE),"")</f>
        <v/>
      </c>
      <c r="C442" s="2" t="inlineStr">
        <is>
          <t>Fall 2025</t>
        </is>
      </c>
      <c r="D442" s="2" t="inlineStr">
        <is>
          <t>Semester 1</t>
        </is>
      </c>
      <c r="E442" s="2" t="inlineStr">
        <is>
          <t>IRL 501</t>
        </is>
      </c>
      <c r="F442" s="2">
        <f>IFERROR(VLOOKUP(E442,Courses!$A:$C,2,FALSE),"")</f>
        <v/>
      </c>
      <c r="G442" s="2">
        <f>IFERROR(VLOOKUP(E442,Courses!$A:$C,3,FALSE),0)</f>
        <v/>
      </c>
      <c r="H442" s="2" t="inlineStr">
        <is>
          <t>C-</t>
        </is>
      </c>
      <c r="I442" s="2" t="n">
        <v>71</v>
      </c>
      <c r="J442" s="2">
        <f>IFERROR(VLOOKUP(H442,'Grade Scale'!$A:$B,2,FALSE),0)</f>
        <v/>
      </c>
      <c r="K442" s="2">
        <f>J442*G442</f>
        <v/>
      </c>
      <c r="L442" s="2">
        <f>IF(H442="F",0,G442)</f>
        <v/>
      </c>
    </row>
    <row r="443">
      <c r="A443" s="2" t="inlineStr">
        <is>
          <t>m250308</t>
        </is>
      </c>
      <c r="B443" s="2">
        <f>IFERROR(VLOOKUP(A443,Students!$A:$B,2,FALSE),"")</f>
        <v/>
      </c>
      <c r="C443" s="2" t="inlineStr">
        <is>
          <t>Fall 2025</t>
        </is>
      </c>
      <c r="D443" s="2" t="inlineStr">
        <is>
          <t>Semester 1</t>
        </is>
      </c>
      <c r="E443" s="2" t="inlineStr">
        <is>
          <t>IRL 510</t>
        </is>
      </c>
      <c r="F443" s="2">
        <f>IFERROR(VLOOKUP(E443,Courses!$A:$C,2,FALSE),"")</f>
        <v/>
      </c>
      <c r="G443" s="2">
        <f>IFERROR(VLOOKUP(E443,Courses!$A:$C,3,FALSE),0)</f>
        <v/>
      </c>
      <c r="H443" s="2" t="inlineStr">
        <is>
          <t>B-</t>
        </is>
      </c>
      <c r="I443" s="2" t="n">
        <v>80</v>
      </c>
      <c r="J443" s="2">
        <f>IFERROR(VLOOKUP(H443,'Grade Scale'!$A:$B,2,FALSE),0)</f>
        <v/>
      </c>
      <c r="K443" s="2">
        <f>J443*G443</f>
        <v/>
      </c>
      <c r="L443" s="2">
        <f>IF(H443="F",0,G443)</f>
        <v/>
      </c>
    </row>
    <row r="444">
      <c r="A444" s="2" t="inlineStr">
        <is>
          <t>m250308</t>
        </is>
      </c>
      <c r="B444" s="2">
        <f>IFERROR(VLOOKUP(A444,Students!$A:$B,2,FALSE),"")</f>
        <v/>
      </c>
      <c r="C444" s="2" t="inlineStr">
        <is>
          <t>Fall 2025</t>
        </is>
      </c>
      <c r="D444" s="2" t="inlineStr">
        <is>
          <t>Semester 1</t>
        </is>
      </c>
      <c r="E444" s="2" t="inlineStr">
        <is>
          <t>IRL 520</t>
        </is>
      </c>
      <c r="F444" s="2">
        <f>IFERROR(VLOOKUP(E444,Courses!$A:$C,2,FALSE),"")</f>
        <v/>
      </c>
      <c r="G444" s="2">
        <f>IFERROR(VLOOKUP(E444,Courses!$A:$C,3,FALSE),0)</f>
        <v/>
      </c>
      <c r="H444" s="2" t="inlineStr">
        <is>
          <t>D+</t>
        </is>
      </c>
      <c r="I444" s="2" t="n">
        <v>68</v>
      </c>
      <c r="J444" s="2">
        <f>IFERROR(VLOOKUP(H444,'Grade Scale'!$A:$B,2,FALSE),0)</f>
        <v/>
      </c>
      <c r="K444" s="2">
        <f>J444*G444</f>
        <v/>
      </c>
      <c r="L444" s="2">
        <f>IF(H444="F",0,G444)</f>
        <v/>
      </c>
    </row>
    <row r="445">
      <c r="A445" s="2" t="inlineStr">
        <is>
          <t>m250308</t>
        </is>
      </c>
      <c r="B445" s="2">
        <f>IFERROR(VLOOKUP(A445,Students!$A:$B,2,FALSE),"")</f>
        <v/>
      </c>
      <c r="C445" s="2" t="inlineStr">
        <is>
          <t>Fall 2025</t>
        </is>
      </c>
      <c r="D445" s="2" t="inlineStr">
        <is>
          <t>Semester 1</t>
        </is>
      </c>
      <c r="E445" s="2" t="inlineStr">
        <is>
          <t>IRL 530</t>
        </is>
      </c>
      <c r="F445" s="2">
        <f>IFERROR(VLOOKUP(E445,Courses!$A:$C,2,FALSE),"")</f>
        <v/>
      </c>
      <c r="G445" s="2">
        <f>IFERROR(VLOOKUP(E445,Courses!$A:$C,3,FALSE),0)</f>
        <v/>
      </c>
      <c r="H445" s="2" t="inlineStr">
        <is>
          <t>B</t>
        </is>
      </c>
      <c r="I445" s="2" t="n">
        <v>85</v>
      </c>
      <c r="J445" s="2">
        <f>IFERROR(VLOOKUP(H445,'Grade Scale'!$A:$B,2,FALSE),0)</f>
        <v/>
      </c>
      <c r="K445" s="2">
        <f>J445*G445</f>
        <v/>
      </c>
      <c r="L445" s="2">
        <f>IF(H445="F",0,G445)</f>
        <v/>
      </c>
    </row>
    <row r="446">
      <c r="A446" s="2" t="inlineStr">
        <is>
          <t>m250308</t>
        </is>
      </c>
      <c r="B446" s="2">
        <f>IFERROR(VLOOKUP(A446,Students!$A:$B,2,FALSE),"")</f>
        <v/>
      </c>
      <c r="C446" s="2" t="inlineStr">
        <is>
          <t>Fall 2025</t>
        </is>
      </c>
      <c r="D446" s="2" t="inlineStr">
        <is>
          <t>Semester 1</t>
        </is>
      </c>
      <c r="E446" s="2" t="inlineStr">
        <is>
          <t>IRL 540</t>
        </is>
      </c>
      <c r="F446" s="2">
        <f>IFERROR(VLOOKUP(E446,Courses!$A:$C,2,FALSE),"")</f>
        <v/>
      </c>
      <c r="G446" s="2">
        <f>IFERROR(VLOOKUP(E446,Courses!$A:$C,3,FALSE),0)</f>
        <v/>
      </c>
      <c r="H446" s="2" t="inlineStr">
        <is>
          <t>C-</t>
        </is>
      </c>
      <c r="I446" s="2" t="n">
        <v>72</v>
      </c>
      <c r="J446" s="2">
        <f>IFERROR(VLOOKUP(H446,'Grade Scale'!$A:$B,2,FALSE),0)</f>
        <v/>
      </c>
      <c r="K446" s="2">
        <f>J446*G446</f>
        <v/>
      </c>
      <c r="L446" s="2">
        <f>IF(H446="F",0,G446)</f>
        <v/>
      </c>
    </row>
    <row r="447">
      <c r="A447" s="2" t="inlineStr">
        <is>
          <t>m250308</t>
        </is>
      </c>
      <c r="B447" s="2">
        <f>IFERROR(VLOOKUP(A447,Students!$A:$B,2,FALSE),"")</f>
        <v/>
      </c>
      <c r="C447" s="2" t="inlineStr">
        <is>
          <t>Spring 2026</t>
        </is>
      </c>
      <c r="D447" s="2" t="inlineStr">
        <is>
          <t>Semester 2</t>
        </is>
      </c>
      <c r="E447" s="2" t="inlineStr">
        <is>
          <t>IRL 550</t>
        </is>
      </c>
      <c r="F447" s="2">
        <f>IFERROR(VLOOKUP(E447,Courses!$A:$C,2,FALSE),"")</f>
        <v/>
      </c>
      <c r="G447" s="2">
        <f>IFERROR(VLOOKUP(E447,Courses!$A:$C,3,FALSE),0)</f>
        <v/>
      </c>
      <c r="H447" s="2" t="inlineStr">
        <is>
          <t>D</t>
        </is>
      </c>
      <c r="I447" s="2" t="n">
        <v>62</v>
      </c>
      <c r="J447" s="2">
        <f>IFERROR(VLOOKUP(H447,'Grade Scale'!$A:$B,2,FALSE),0)</f>
        <v/>
      </c>
      <c r="K447" s="2">
        <f>J447*G447</f>
        <v/>
      </c>
      <c r="L447" s="2">
        <f>IF(H447="F",0,G447)</f>
        <v/>
      </c>
    </row>
    <row r="448">
      <c r="A448" s="2" t="inlineStr">
        <is>
          <t>m250308</t>
        </is>
      </c>
      <c r="B448" s="2">
        <f>IFERROR(VLOOKUP(A448,Students!$A:$B,2,FALSE),"")</f>
        <v/>
      </c>
      <c r="C448" s="2" t="inlineStr">
        <is>
          <t>Spring 2026</t>
        </is>
      </c>
      <c r="D448" s="2" t="inlineStr">
        <is>
          <t>Semester 2</t>
        </is>
      </c>
      <c r="E448" s="2" t="inlineStr">
        <is>
          <t>IRL 560</t>
        </is>
      </c>
      <c r="F448" s="2">
        <f>IFERROR(VLOOKUP(E448,Courses!$A:$C,2,FALSE),"")</f>
        <v/>
      </c>
      <c r="G448" s="2">
        <f>IFERROR(VLOOKUP(E448,Courses!$A:$C,3,FALSE),0)</f>
        <v/>
      </c>
      <c r="H448" s="2" t="inlineStr">
        <is>
          <t>C-</t>
        </is>
      </c>
      <c r="I448" s="2" t="n">
        <v>71</v>
      </c>
      <c r="J448" s="2">
        <f>IFERROR(VLOOKUP(H448,'Grade Scale'!$A:$B,2,FALSE),0)</f>
        <v/>
      </c>
      <c r="K448" s="2">
        <f>J448*G448</f>
        <v/>
      </c>
      <c r="L448" s="2">
        <f>IF(H448="F",0,G448)</f>
        <v/>
      </c>
    </row>
    <row r="449">
      <c r="A449" s="2" t="inlineStr">
        <is>
          <t>m250308</t>
        </is>
      </c>
      <c r="B449" s="2">
        <f>IFERROR(VLOOKUP(A449,Students!$A:$B,2,FALSE),"")</f>
        <v/>
      </c>
      <c r="C449" s="2" t="inlineStr">
        <is>
          <t>Spring 2026</t>
        </is>
      </c>
      <c r="D449" s="2" t="inlineStr">
        <is>
          <t>Semester 2</t>
        </is>
      </c>
      <c r="E449" s="2" t="inlineStr">
        <is>
          <t>IRL 570</t>
        </is>
      </c>
      <c r="F449" s="2">
        <f>IFERROR(VLOOKUP(E449,Courses!$A:$C,2,FALSE),"")</f>
        <v/>
      </c>
      <c r="G449" s="2">
        <f>IFERROR(VLOOKUP(E449,Courses!$A:$C,3,FALSE),0)</f>
        <v/>
      </c>
      <c r="H449" s="2" t="inlineStr">
        <is>
          <t>C</t>
        </is>
      </c>
      <c r="I449" s="2" t="n">
        <v>76</v>
      </c>
      <c r="J449" s="2">
        <f>IFERROR(VLOOKUP(H449,'Grade Scale'!$A:$B,2,FALSE),0)</f>
        <v/>
      </c>
      <c r="K449" s="2">
        <f>J449*G449</f>
        <v/>
      </c>
      <c r="L449" s="2">
        <f>IF(H449="F",0,G449)</f>
        <v/>
      </c>
    </row>
    <row r="450">
      <c r="A450" s="2" t="inlineStr">
        <is>
          <t>m250308</t>
        </is>
      </c>
      <c r="B450" s="2">
        <f>IFERROR(VLOOKUP(A450,Students!$A:$B,2,FALSE),"")</f>
        <v/>
      </c>
      <c r="C450" s="2" t="inlineStr">
        <is>
          <t>Spring 2026</t>
        </is>
      </c>
      <c r="D450" s="2" t="inlineStr">
        <is>
          <t>Semester 2</t>
        </is>
      </c>
      <c r="E450" s="2" t="inlineStr">
        <is>
          <t>IRL 580</t>
        </is>
      </c>
      <c r="F450" s="2">
        <f>IFERROR(VLOOKUP(E450,Courses!$A:$C,2,FALSE),"")</f>
        <v/>
      </c>
      <c r="G450" s="2">
        <f>IFERROR(VLOOKUP(E450,Courses!$A:$C,3,FALSE),0)</f>
        <v/>
      </c>
      <c r="H450" s="2" t="inlineStr">
        <is>
          <t>C</t>
        </is>
      </c>
      <c r="I450" s="2" t="n">
        <v>75</v>
      </c>
      <c r="J450" s="2">
        <f>IFERROR(VLOOKUP(H450,'Grade Scale'!$A:$B,2,FALSE),0)</f>
        <v/>
      </c>
      <c r="K450" s="2">
        <f>J450*G450</f>
        <v/>
      </c>
      <c r="L450" s="2">
        <f>IF(H450="F",0,G450)</f>
        <v/>
      </c>
    </row>
    <row r="451">
      <c r="A451" s="2" t="inlineStr">
        <is>
          <t>m250308</t>
        </is>
      </c>
      <c r="B451" s="2">
        <f>IFERROR(VLOOKUP(A451,Students!$A:$B,2,FALSE),"")</f>
        <v/>
      </c>
      <c r="C451" s="2" t="inlineStr">
        <is>
          <t>Spring 2026</t>
        </is>
      </c>
      <c r="D451" s="2" t="inlineStr">
        <is>
          <t>Semester 2</t>
        </is>
      </c>
      <c r="E451" s="2" t="inlineStr">
        <is>
          <t>IRL 590</t>
        </is>
      </c>
      <c r="F451" s="2">
        <f>IFERROR(VLOOKUP(E451,Courses!$A:$C,2,FALSE),"")</f>
        <v/>
      </c>
      <c r="G451" s="2">
        <f>IFERROR(VLOOKUP(E451,Courses!$A:$C,3,FALSE),0)</f>
        <v/>
      </c>
      <c r="H451" s="2" t="inlineStr">
        <is>
          <t>C-</t>
        </is>
      </c>
      <c r="I451" s="2" t="n">
        <v>70</v>
      </c>
      <c r="J451" s="2">
        <f>IFERROR(VLOOKUP(H451,'Grade Scale'!$A:$B,2,FALSE),0)</f>
        <v/>
      </c>
      <c r="K451" s="2">
        <f>J451*G451</f>
        <v/>
      </c>
      <c r="L451" s="2">
        <f>IF(H451="F",0,G451)</f>
        <v/>
      </c>
    </row>
    <row r="452">
      <c r="A452" s="2" t="inlineStr">
        <is>
          <t>m240111</t>
        </is>
      </c>
      <c r="B452" s="2">
        <f>IFERROR(VLOOKUP(A452,Students!$A:$B,2,FALSE),"")</f>
        <v/>
      </c>
      <c r="C452" s="2" t="inlineStr">
        <is>
          <t>Fall 2024</t>
        </is>
      </c>
      <c r="D452" s="2" t="inlineStr">
        <is>
          <t>Semester 1</t>
        </is>
      </c>
      <c r="E452" s="2" t="inlineStr">
        <is>
          <t>CIV 101</t>
        </is>
      </c>
      <c r="F452" s="2">
        <f>IFERROR(VLOOKUP(E452,Courses!$A:$C,2,FALSE),"")</f>
        <v/>
      </c>
      <c r="G452" s="2">
        <f>IFERROR(VLOOKUP(E452,Courses!$A:$C,3,FALSE),0)</f>
        <v/>
      </c>
      <c r="H452" s="2" t="inlineStr">
        <is>
          <t>B+</t>
        </is>
      </c>
      <c r="I452" s="2" t="n">
        <v>87</v>
      </c>
      <c r="J452" s="2">
        <f>IFERROR(VLOOKUP(H452,'Grade Scale'!$A:$B,2,FALSE),0)</f>
        <v/>
      </c>
      <c r="K452" s="2">
        <f>J452*G452</f>
        <v/>
      </c>
      <c r="L452" s="2">
        <f>IF(H452="F",0,G452)</f>
        <v/>
      </c>
    </row>
    <row r="453">
      <c r="A453" s="2" t="inlineStr">
        <is>
          <t>m240111</t>
        </is>
      </c>
      <c r="B453" s="2">
        <f>IFERROR(VLOOKUP(A453,Students!$A:$B,2,FALSE),"")</f>
        <v/>
      </c>
      <c r="C453" s="2" t="inlineStr">
        <is>
          <t>Fall 2024</t>
        </is>
      </c>
      <c r="D453" s="2" t="inlineStr">
        <is>
          <t>Semester 1</t>
        </is>
      </c>
      <c r="E453" s="2" t="inlineStr">
        <is>
          <t>MTH 120</t>
        </is>
      </c>
      <c r="F453" s="2">
        <f>IFERROR(VLOOKUP(E453,Courses!$A:$C,2,FALSE),"")</f>
        <v/>
      </c>
      <c r="G453" s="2">
        <f>IFERROR(VLOOKUP(E453,Courses!$A:$C,3,FALSE),0)</f>
        <v/>
      </c>
      <c r="H453" s="2" t="inlineStr">
        <is>
          <t>B</t>
        </is>
      </c>
      <c r="I453" s="2" t="n">
        <v>84</v>
      </c>
      <c r="J453" s="2">
        <f>IFERROR(VLOOKUP(H453,'Grade Scale'!$A:$B,2,FALSE),0)</f>
        <v/>
      </c>
      <c r="K453" s="2">
        <f>J453*G453</f>
        <v/>
      </c>
      <c r="L453" s="2">
        <f>IF(H453="F",0,G453)</f>
        <v/>
      </c>
    </row>
    <row r="454">
      <c r="A454" s="2" t="inlineStr">
        <is>
          <t>m240111</t>
        </is>
      </c>
      <c r="B454" s="2">
        <f>IFERROR(VLOOKUP(A454,Students!$A:$B,2,FALSE),"")</f>
        <v/>
      </c>
      <c r="C454" s="2" t="inlineStr">
        <is>
          <t>Fall 2024</t>
        </is>
      </c>
      <c r="D454" s="2" t="inlineStr">
        <is>
          <t>Semester 1</t>
        </is>
      </c>
      <c r="E454" s="2" t="inlineStr">
        <is>
          <t>PHY 101</t>
        </is>
      </c>
      <c r="F454" s="2">
        <f>IFERROR(VLOOKUP(E454,Courses!$A:$C,2,FALSE),"")</f>
        <v/>
      </c>
      <c r="G454" s="2">
        <f>IFERROR(VLOOKUP(E454,Courses!$A:$C,3,FALSE),0)</f>
        <v/>
      </c>
      <c r="H454" s="2" t="inlineStr">
        <is>
          <t>A-</t>
        </is>
      </c>
      <c r="I454" s="2" t="n">
        <v>90</v>
      </c>
      <c r="J454" s="2">
        <f>IFERROR(VLOOKUP(H454,'Grade Scale'!$A:$B,2,FALSE),0)</f>
        <v/>
      </c>
      <c r="K454" s="2">
        <f>J454*G454</f>
        <v/>
      </c>
      <c r="L454" s="2">
        <f>IF(H454="F",0,G454)</f>
        <v/>
      </c>
    </row>
    <row r="455">
      <c r="A455" s="2" t="inlineStr">
        <is>
          <t>m240111</t>
        </is>
      </c>
      <c r="B455" s="2">
        <f>IFERROR(VLOOKUP(A455,Students!$A:$B,2,FALSE),"")</f>
        <v/>
      </c>
      <c r="C455" s="2" t="inlineStr">
        <is>
          <t>Fall 2024</t>
        </is>
      </c>
      <c r="D455" s="2" t="inlineStr">
        <is>
          <t>Semester 1</t>
        </is>
      </c>
      <c r="E455" s="2" t="inlineStr">
        <is>
          <t>ENG 101</t>
        </is>
      </c>
      <c r="F455" s="2">
        <f>IFERROR(VLOOKUP(E455,Courses!$A:$C,2,FALSE),"")</f>
        <v/>
      </c>
      <c r="G455" s="2">
        <f>IFERROR(VLOOKUP(E455,Courses!$A:$C,3,FALSE),0)</f>
        <v/>
      </c>
      <c r="H455" s="2" t="inlineStr">
        <is>
          <t>B</t>
        </is>
      </c>
      <c r="I455" s="2" t="n">
        <v>83</v>
      </c>
      <c r="J455" s="2">
        <f>IFERROR(VLOOKUP(H455,'Grade Scale'!$A:$B,2,FALSE),0)</f>
        <v/>
      </c>
      <c r="K455" s="2">
        <f>J455*G455</f>
        <v/>
      </c>
      <c r="L455" s="2">
        <f>IF(H455="F",0,G455)</f>
        <v/>
      </c>
    </row>
    <row r="456">
      <c r="A456" s="2" t="inlineStr">
        <is>
          <t>m240111</t>
        </is>
      </c>
      <c r="B456" s="2">
        <f>IFERROR(VLOOKUP(A456,Students!$A:$B,2,FALSE),"")</f>
        <v/>
      </c>
      <c r="C456" s="2" t="inlineStr">
        <is>
          <t>Fall 2024</t>
        </is>
      </c>
      <c r="D456" s="2" t="inlineStr">
        <is>
          <t>Semester 1</t>
        </is>
      </c>
      <c r="E456" s="2" t="inlineStr">
        <is>
          <t>CHM 101</t>
        </is>
      </c>
      <c r="F456" s="2">
        <f>IFERROR(VLOOKUP(E456,Courses!$A:$C,2,FALSE),"")</f>
        <v/>
      </c>
      <c r="G456" s="2">
        <f>IFERROR(VLOOKUP(E456,Courses!$A:$C,3,FALSE),0)</f>
        <v/>
      </c>
      <c r="H456" s="2" t="inlineStr">
        <is>
          <t>A-</t>
        </is>
      </c>
      <c r="I456" s="2" t="n">
        <v>91</v>
      </c>
      <c r="J456" s="2">
        <f>IFERROR(VLOOKUP(H456,'Grade Scale'!$A:$B,2,FALSE),0)</f>
        <v/>
      </c>
      <c r="K456" s="2">
        <f>J456*G456</f>
        <v/>
      </c>
      <c r="L456" s="2">
        <f>IF(H456="F",0,G456)</f>
        <v/>
      </c>
    </row>
    <row r="457">
      <c r="A457" s="2" t="inlineStr">
        <is>
          <t>m240111</t>
        </is>
      </c>
      <c r="B457" s="2">
        <f>IFERROR(VLOOKUP(A457,Students!$A:$B,2,FALSE),"")</f>
        <v/>
      </c>
      <c r="C457" s="2" t="inlineStr">
        <is>
          <t>Spring 2025</t>
        </is>
      </c>
      <c r="D457" s="2" t="inlineStr">
        <is>
          <t>Semester 2</t>
        </is>
      </c>
      <c r="E457" s="2" t="inlineStr">
        <is>
          <t>CIV 150</t>
        </is>
      </c>
      <c r="F457" s="2">
        <f>IFERROR(VLOOKUP(E457,Courses!$A:$C,2,FALSE),"")</f>
        <v/>
      </c>
      <c r="G457" s="2">
        <f>IFERROR(VLOOKUP(E457,Courses!$A:$C,3,FALSE),0)</f>
        <v/>
      </c>
      <c r="H457" s="2" t="inlineStr">
        <is>
          <t>B</t>
        </is>
      </c>
      <c r="I457" s="2" t="n">
        <v>83</v>
      </c>
      <c r="J457" s="2">
        <f>IFERROR(VLOOKUP(H457,'Grade Scale'!$A:$B,2,FALSE),0)</f>
        <v/>
      </c>
      <c r="K457" s="2">
        <f>J457*G457</f>
        <v/>
      </c>
      <c r="L457" s="2">
        <f>IF(H457="F",0,G457)</f>
        <v/>
      </c>
    </row>
    <row r="458">
      <c r="A458" s="2" t="inlineStr">
        <is>
          <t>m240111</t>
        </is>
      </c>
      <c r="B458" s="2">
        <f>IFERROR(VLOOKUP(A458,Students!$A:$B,2,FALSE),"")</f>
        <v/>
      </c>
      <c r="C458" s="2" t="inlineStr">
        <is>
          <t>Spring 2025</t>
        </is>
      </c>
      <c r="D458" s="2" t="inlineStr">
        <is>
          <t>Semester 2</t>
        </is>
      </c>
      <c r="E458" s="2" t="inlineStr">
        <is>
          <t>MTH 140</t>
        </is>
      </c>
      <c r="F458" s="2">
        <f>IFERROR(VLOOKUP(E458,Courses!$A:$C,2,FALSE),"")</f>
        <v/>
      </c>
      <c r="G458" s="2">
        <f>IFERROR(VLOOKUP(E458,Courses!$A:$C,3,FALSE),0)</f>
        <v/>
      </c>
      <c r="H458" s="2" t="inlineStr">
        <is>
          <t>A</t>
        </is>
      </c>
      <c r="I458" s="2" t="n">
        <v>95</v>
      </c>
      <c r="J458" s="2">
        <f>IFERROR(VLOOKUP(H458,'Grade Scale'!$A:$B,2,FALSE),0)</f>
        <v/>
      </c>
      <c r="K458" s="2">
        <f>J458*G458</f>
        <v/>
      </c>
      <c r="L458" s="2">
        <f>IF(H458="F",0,G458)</f>
        <v/>
      </c>
    </row>
    <row r="459">
      <c r="A459" s="2" t="inlineStr">
        <is>
          <t>m240111</t>
        </is>
      </c>
      <c r="B459" s="2">
        <f>IFERROR(VLOOKUP(A459,Students!$A:$B,2,FALSE),"")</f>
        <v/>
      </c>
      <c r="C459" s="2" t="inlineStr">
        <is>
          <t>Spring 2025</t>
        </is>
      </c>
      <c r="D459" s="2" t="inlineStr">
        <is>
          <t>Semester 2</t>
        </is>
      </c>
      <c r="E459" s="2" t="inlineStr">
        <is>
          <t>PHY 102</t>
        </is>
      </c>
      <c r="F459" s="2">
        <f>IFERROR(VLOOKUP(E459,Courses!$A:$C,2,FALSE),"")</f>
        <v/>
      </c>
      <c r="G459" s="2">
        <f>IFERROR(VLOOKUP(E459,Courses!$A:$C,3,FALSE),0)</f>
        <v/>
      </c>
      <c r="H459" s="2" t="inlineStr">
        <is>
          <t>A</t>
        </is>
      </c>
      <c r="I459" s="2" t="n">
        <v>97</v>
      </c>
      <c r="J459" s="2">
        <f>IFERROR(VLOOKUP(H459,'Grade Scale'!$A:$B,2,FALSE),0)</f>
        <v/>
      </c>
      <c r="K459" s="2">
        <f>J459*G459</f>
        <v/>
      </c>
      <c r="L459" s="2">
        <f>IF(H459="F",0,G459)</f>
        <v/>
      </c>
    </row>
    <row r="460">
      <c r="A460" s="2" t="inlineStr">
        <is>
          <t>m240111</t>
        </is>
      </c>
      <c r="B460" s="2">
        <f>IFERROR(VLOOKUP(A460,Students!$A:$B,2,FALSE),"")</f>
        <v/>
      </c>
      <c r="C460" s="2" t="inlineStr">
        <is>
          <t>Spring 2025</t>
        </is>
      </c>
      <c r="D460" s="2" t="inlineStr">
        <is>
          <t>Semester 2</t>
        </is>
      </c>
      <c r="E460" s="2" t="inlineStr">
        <is>
          <t>ENG 102</t>
        </is>
      </c>
      <c r="F460" s="2">
        <f>IFERROR(VLOOKUP(E460,Courses!$A:$C,2,FALSE),"")</f>
        <v/>
      </c>
      <c r="G460" s="2">
        <f>IFERROR(VLOOKUP(E460,Courses!$A:$C,3,FALSE),0)</f>
        <v/>
      </c>
      <c r="H460" s="2" t="inlineStr">
        <is>
          <t>B+</t>
        </is>
      </c>
      <c r="I460" s="2" t="n">
        <v>87</v>
      </c>
      <c r="J460" s="2">
        <f>IFERROR(VLOOKUP(H460,'Grade Scale'!$A:$B,2,FALSE),0)</f>
        <v/>
      </c>
      <c r="K460" s="2">
        <f>J460*G460</f>
        <v/>
      </c>
      <c r="L460" s="2">
        <f>IF(H460="F",0,G460)</f>
        <v/>
      </c>
    </row>
    <row r="461">
      <c r="A461" s="2" t="inlineStr">
        <is>
          <t>m240111</t>
        </is>
      </c>
      <c r="B461" s="2">
        <f>IFERROR(VLOOKUP(A461,Students!$A:$B,2,FALSE),"")</f>
        <v/>
      </c>
      <c r="C461" s="2" t="inlineStr">
        <is>
          <t>Spring 2025</t>
        </is>
      </c>
      <c r="D461" s="2" t="inlineStr">
        <is>
          <t>Semester 2</t>
        </is>
      </c>
      <c r="E461" s="2" t="inlineStr">
        <is>
          <t>CIV 160</t>
        </is>
      </c>
      <c r="F461" s="2">
        <f>IFERROR(VLOOKUP(E461,Courses!$A:$C,2,FALSE),"")</f>
        <v/>
      </c>
      <c r="G461" s="2">
        <f>IFERROR(VLOOKUP(E461,Courses!$A:$C,3,FALSE),0)</f>
        <v/>
      </c>
      <c r="H461" s="2" t="inlineStr">
        <is>
          <t>B</t>
        </is>
      </c>
      <c r="I461" s="2" t="n">
        <v>86</v>
      </c>
      <c r="J461" s="2">
        <f>IFERROR(VLOOKUP(H461,'Grade Scale'!$A:$B,2,FALSE),0)</f>
        <v/>
      </c>
      <c r="K461" s="2">
        <f>J461*G461</f>
        <v/>
      </c>
      <c r="L461" s="2">
        <f>IF(H461="F",0,G461)</f>
        <v/>
      </c>
    </row>
    <row r="462">
      <c r="A462" s="2" t="inlineStr">
        <is>
          <t>m240111</t>
        </is>
      </c>
      <c r="B462" s="2">
        <f>IFERROR(VLOOKUP(A462,Students!$A:$B,2,FALSE),"")</f>
        <v/>
      </c>
      <c r="C462" s="2" t="inlineStr">
        <is>
          <t>Fall 2025</t>
        </is>
      </c>
      <c r="D462" s="2" t="inlineStr">
        <is>
          <t>Semester 3</t>
        </is>
      </c>
      <c r="E462" s="2" t="inlineStr">
        <is>
          <t>CIV 210</t>
        </is>
      </c>
      <c r="F462" s="2">
        <f>IFERROR(VLOOKUP(E462,Courses!$A:$C,2,FALSE),"")</f>
        <v/>
      </c>
      <c r="G462" s="2">
        <f>IFERROR(VLOOKUP(E462,Courses!$A:$C,3,FALSE),0)</f>
        <v/>
      </c>
      <c r="H462" s="2" t="inlineStr">
        <is>
          <t>B+</t>
        </is>
      </c>
      <c r="I462" s="2" t="n">
        <v>88</v>
      </c>
      <c r="J462" s="2">
        <f>IFERROR(VLOOKUP(H462,'Grade Scale'!$A:$B,2,FALSE),0)</f>
        <v/>
      </c>
      <c r="K462" s="2">
        <f>J462*G462</f>
        <v/>
      </c>
      <c r="L462" s="2">
        <f>IF(H462="F",0,G462)</f>
        <v/>
      </c>
    </row>
    <row r="463">
      <c r="A463" s="2" t="inlineStr">
        <is>
          <t>m240111</t>
        </is>
      </c>
      <c r="B463" s="2">
        <f>IFERROR(VLOOKUP(A463,Students!$A:$B,2,FALSE),"")</f>
        <v/>
      </c>
      <c r="C463" s="2" t="inlineStr">
        <is>
          <t>Fall 2025</t>
        </is>
      </c>
      <c r="D463" s="2" t="inlineStr">
        <is>
          <t>Semester 3</t>
        </is>
      </c>
      <c r="E463" s="2" t="inlineStr">
        <is>
          <t>CIV 220</t>
        </is>
      </c>
      <c r="F463" s="2">
        <f>IFERROR(VLOOKUP(E463,Courses!$A:$C,2,FALSE),"")</f>
        <v/>
      </c>
      <c r="G463" s="2">
        <f>IFERROR(VLOOKUP(E463,Courses!$A:$C,3,FALSE),0)</f>
        <v/>
      </c>
      <c r="H463" s="2" t="inlineStr">
        <is>
          <t>A</t>
        </is>
      </c>
      <c r="I463" s="2" t="n">
        <v>100</v>
      </c>
      <c r="J463" s="2">
        <f>IFERROR(VLOOKUP(H463,'Grade Scale'!$A:$B,2,FALSE),0)</f>
        <v/>
      </c>
      <c r="K463" s="2">
        <f>J463*G463</f>
        <v/>
      </c>
      <c r="L463" s="2">
        <f>IF(H463="F",0,G463)</f>
        <v/>
      </c>
    </row>
    <row r="464">
      <c r="A464" s="2" t="inlineStr">
        <is>
          <t>m240111</t>
        </is>
      </c>
      <c r="B464" s="2">
        <f>IFERROR(VLOOKUP(A464,Students!$A:$B,2,FALSE),"")</f>
        <v/>
      </c>
      <c r="C464" s="2" t="inlineStr">
        <is>
          <t>Fall 2025</t>
        </is>
      </c>
      <c r="D464" s="2" t="inlineStr">
        <is>
          <t>Semester 3</t>
        </is>
      </c>
      <c r="E464" s="2" t="inlineStr">
        <is>
          <t>CIV 230</t>
        </is>
      </c>
      <c r="F464" s="2">
        <f>IFERROR(VLOOKUP(E464,Courses!$A:$C,2,FALSE),"")</f>
        <v/>
      </c>
      <c r="G464" s="2">
        <f>IFERROR(VLOOKUP(E464,Courses!$A:$C,3,FALSE),0)</f>
        <v/>
      </c>
      <c r="H464" s="2" t="inlineStr">
        <is>
          <t>B</t>
        </is>
      </c>
      <c r="I464" s="2" t="n">
        <v>84</v>
      </c>
      <c r="J464" s="2">
        <f>IFERROR(VLOOKUP(H464,'Grade Scale'!$A:$B,2,FALSE),0)</f>
        <v/>
      </c>
      <c r="K464" s="2">
        <f>J464*G464</f>
        <v/>
      </c>
      <c r="L464" s="2">
        <f>IF(H464="F",0,G464)</f>
        <v/>
      </c>
    </row>
    <row r="465">
      <c r="A465" s="2" t="inlineStr">
        <is>
          <t>m240111</t>
        </is>
      </c>
      <c r="B465" s="2">
        <f>IFERROR(VLOOKUP(A465,Students!$A:$B,2,FALSE),"")</f>
        <v/>
      </c>
      <c r="C465" s="2" t="inlineStr">
        <is>
          <t>Fall 2025</t>
        </is>
      </c>
      <c r="D465" s="2" t="inlineStr">
        <is>
          <t>Semester 3</t>
        </is>
      </c>
      <c r="E465" s="2" t="inlineStr">
        <is>
          <t>MTH 210</t>
        </is>
      </c>
      <c r="F465" s="2">
        <f>IFERROR(VLOOKUP(E465,Courses!$A:$C,2,FALSE),"")</f>
        <v/>
      </c>
      <c r="G465" s="2">
        <f>IFERROR(VLOOKUP(E465,Courses!$A:$C,3,FALSE),0)</f>
        <v/>
      </c>
      <c r="H465" s="2" t="inlineStr">
        <is>
          <t>A</t>
        </is>
      </c>
      <c r="I465" s="2" t="n">
        <v>99</v>
      </c>
      <c r="J465" s="2">
        <f>IFERROR(VLOOKUP(H465,'Grade Scale'!$A:$B,2,FALSE),0)</f>
        <v/>
      </c>
      <c r="K465" s="2">
        <f>J465*G465</f>
        <v/>
      </c>
      <c r="L465" s="2">
        <f>IF(H465="F",0,G465)</f>
        <v/>
      </c>
    </row>
    <row r="466">
      <c r="A466" s="2" t="inlineStr">
        <is>
          <t>m240111</t>
        </is>
      </c>
      <c r="B466" s="2">
        <f>IFERROR(VLOOKUP(A466,Students!$A:$B,2,FALSE),"")</f>
        <v/>
      </c>
      <c r="C466" s="2" t="inlineStr">
        <is>
          <t>Fall 2025</t>
        </is>
      </c>
      <c r="D466" s="2" t="inlineStr">
        <is>
          <t>Semester 3</t>
        </is>
      </c>
      <c r="E466" s="2" t="inlineStr">
        <is>
          <t>CIV 240</t>
        </is>
      </c>
      <c r="F466" s="2">
        <f>IFERROR(VLOOKUP(E466,Courses!$A:$C,2,FALSE),"")</f>
        <v/>
      </c>
      <c r="G466" s="2">
        <f>IFERROR(VLOOKUP(E466,Courses!$A:$C,3,FALSE),0)</f>
        <v/>
      </c>
      <c r="H466" s="2" t="inlineStr">
        <is>
          <t>B</t>
        </is>
      </c>
      <c r="I466" s="2" t="n">
        <v>86</v>
      </c>
      <c r="J466" s="2">
        <f>IFERROR(VLOOKUP(H466,'Grade Scale'!$A:$B,2,FALSE),0)</f>
        <v/>
      </c>
      <c r="K466" s="2">
        <f>J466*G466</f>
        <v/>
      </c>
      <c r="L466" s="2">
        <f>IF(H466="F",0,G466)</f>
        <v/>
      </c>
    </row>
    <row r="467">
      <c r="A467" s="2" t="inlineStr">
        <is>
          <t>m240111</t>
        </is>
      </c>
      <c r="B467" s="2">
        <f>IFERROR(VLOOKUP(A467,Students!$A:$B,2,FALSE),"")</f>
        <v/>
      </c>
      <c r="C467" s="2" t="inlineStr">
        <is>
          <t>Spring 2026</t>
        </is>
      </c>
      <c r="D467" s="2" t="inlineStr">
        <is>
          <t>Semester 4</t>
        </is>
      </c>
      <c r="E467" s="2" t="inlineStr">
        <is>
          <t>CIV 250</t>
        </is>
      </c>
      <c r="F467" s="2">
        <f>IFERROR(VLOOKUP(E467,Courses!$A:$C,2,FALSE),"")</f>
        <v/>
      </c>
      <c r="G467" s="2">
        <f>IFERROR(VLOOKUP(E467,Courses!$A:$C,3,FALSE),0)</f>
        <v/>
      </c>
      <c r="H467" s="2" t="inlineStr">
        <is>
          <t>A-</t>
        </is>
      </c>
      <c r="I467" s="2" t="n">
        <v>90</v>
      </c>
      <c r="J467" s="2">
        <f>IFERROR(VLOOKUP(H467,'Grade Scale'!$A:$B,2,FALSE),0)</f>
        <v/>
      </c>
      <c r="K467" s="2">
        <f>J467*G467</f>
        <v/>
      </c>
      <c r="L467" s="2">
        <f>IF(H467="F",0,G467)</f>
        <v/>
      </c>
    </row>
    <row r="468">
      <c r="A468" s="2" t="inlineStr">
        <is>
          <t>m240111</t>
        </is>
      </c>
      <c r="B468" s="2">
        <f>IFERROR(VLOOKUP(A468,Students!$A:$B,2,FALSE),"")</f>
        <v/>
      </c>
      <c r="C468" s="2" t="inlineStr">
        <is>
          <t>Spring 2026</t>
        </is>
      </c>
      <c r="D468" s="2" t="inlineStr">
        <is>
          <t>Semester 4</t>
        </is>
      </c>
      <c r="E468" s="2" t="inlineStr">
        <is>
          <t>CIV 260</t>
        </is>
      </c>
      <c r="F468" s="2">
        <f>IFERROR(VLOOKUP(E468,Courses!$A:$C,2,FALSE),"")</f>
        <v/>
      </c>
      <c r="G468" s="2">
        <f>IFERROR(VLOOKUP(E468,Courses!$A:$C,3,FALSE),0)</f>
        <v/>
      </c>
      <c r="H468" s="2" t="inlineStr">
        <is>
          <t>B</t>
        </is>
      </c>
      <c r="I468" s="2" t="n">
        <v>86</v>
      </c>
      <c r="J468" s="2">
        <f>IFERROR(VLOOKUP(H468,'Grade Scale'!$A:$B,2,FALSE),0)</f>
        <v/>
      </c>
      <c r="K468" s="2">
        <f>J468*G468</f>
        <v/>
      </c>
      <c r="L468" s="2">
        <f>IF(H468="F",0,G468)</f>
        <v/>
      </c>
    </row>
    <row r="469">
      <c r="A469" s="2" t="inlineStr">
        <is>
          <t>m240111</t>
        </is>
      </c>
      <c r="B469" s="2">
        <f>IFERROR(VLOOKUP(A469,Students!$A:$B,2,FALSE),"")</f>
        <v/>
      </c>
      <c r="C469" s="2" t="inlineStr">
        <is>
          <t>Spring 2026</t>
        </is>
      </c>
      <c r="D469" s="2" t="inlineStr">
        <is>
          <t>Semester 4</t>
        </is>
      </c>
      <c r="E469" s="2" t="inlineStr">
        <is>
          <t>CIV 270</t>
        </is>
      </c>
      <c r="F469" s="2">
        <f>IFERROR(VLOOKUP(E469,Courses!$A:$C,2,FALSE),"")</f>
        <v/>
      </c>
      <c r="G469" s="2">
        <f>IFERROR(VLOOKUP(E469,Courses!$A:$C,3,FALSE),0)</f>
        <v/>
      </c>
      <c r="H469" s="2" t="inlineStr">
        <is>
          <t>B</t>
        </is>
      </c>
      <c r="I469" s="2" t="n">
        <v>86</v>
      </c>
      <c r="J469" s="2">
        <f>IFERROR(VLOOKUP(H469,'Grade Scale'!$A:$B,2,FALSE),0)</f>
        <v/>
      </c>
      <c r="K469" s="2">
        <f>J469*G469</f>
        <v/>
      </c>
      <c r="L469" s="2">
        <f>IF(H469="F",0,G469)</f>
        <v/>
      </c>
    </row>
    <row r="470">
      <c r="A470" s="2" t="inlineStr">
        <is>
          <t>m240111</t>
        </is>
      </c>
      <c r="B470" s="2">
        <f>IFERROR(VLOOKUP(A470,Students!$A:$B,2,FALSE),"")</f>
        <v/>
      </c>
      <c r="C470" s="2" t="inlineStr">
        <is>
          <t>Spring 2026</t>
        </is>
      </c>
      <c r="D470" s="2" t="inlineStr">
        <is>
          <t>Semester 4</t>
        </is>
      </c>
      <c r="E470" s="2" t="inlineStr">
        <is>
          <t>CIV 280</t>
        </is>
      </c>
      <c r="F470" s="2">
        <f>IFERROR(VLOOKUP(E470,Courses!$A:$C,2,FALSE),"")</f>
        <v/>
      </c>
      <c r="G470" s="2">
        <f>IFERROR(VLOOKUP(E470,Courses!$A:$C,3,FALSE),0)</f>
        <v/>
      </c>
      <c r="H470" s="2" t="inlineStr">
        <is>
          <t>A</t>
        </is>
      </c>
      <c r="I470" s="2" t="n">
        <v>97</v>
      </c>
      <c r="J470" s="2">
        <f>IFERROR(VLOOKUP(H470,'Grade Scale'!$A:$B,2,FALSE),0)</f>
        <v/>
      </c>
      <c r="K470" s="2">
        <f>J470*G470</f>
        <v/>
      </c>
      <c r="L470" s="2">
        <f>IF(H470="F",0,G470)</f>
        <v/>
      </c>
    </row>
    <row r="471">
      <c r="A471" s="2" t="inlineStr">
        <is>
          <t>m240111</t>
        </is>
      </c>
      <c r="B471" s="2">
        <f>IFERROR(VLOOKUP(A471,Students!$A:$B,2,FALSE),"")</f>
        <v/>
      </c>
      <c r="C471" s="2" t="inlineStr">
        <is>
          <t>Spring 2026</t>
        </is>
      </c>
      <c r="D471" s="2" t="inlineStr">
        <is>
          <t>Semester 4</t>
        </is>
      </c>
      <c r="E471" s="2" t="inlineStr">
        <is>
          <t>CIV 290</t>
        </is>
      </c>
      <c r="F471" s="2">
        <f>IFERROR(VLOOKUP(E471,Courses!$A:$C,2,FALSE),"")</f>
        <v/>
      </c>
      <c r="G471" s="2">
        <f>IFERROR(VLOOKUP(E471,Courses!$A:$C,3,FALSE),0)</f>
        <v/>
      </c>
      <c r="H471" s="2" t="inlineStr">
        <is>
          <t>B+</t>
        </is>
      </c>
      <c r="I471" s="2" t="n">
        <v>88</v>
      </c>
      <c r="J471" s="2">
        <f>IFERROR(VLOOKUP(H471,'Grade Scale'!$A:$B,2,FALSE),0)</f>
        <v/>
      </c>
      <c r="K471" s="2">
        <f>J471*G471</f>
        <v/>
      </c>
      <c r="L471" s="2">
        <f>IF(H471="F",0,G471)</f>
        <v/>
      </c>
    </row>
    <row r="472">
      <c r="A472" s="2" t="inlineStr">
        <is>
          <t>m250213</t>
        </is>
      </c>
      <c r="B472" s="2">
        <f>IFERROR(VLOOKUP(A472,Students!$A:$B,2,FALSE),"")</f>
        <v/>
      </c>
      <c r="C472" s="2" t="inlineStr">
        <is>
          <t>Spring 2025</t>
        </is>
      </c>
      <c r="D472" s="2" t="inlineStr">
        <is>
          <t>Semester 1</t>
        </is>
      </c>
      <c r="E472" s="2" t="inlineStr">
        <is>
          <t>ART 101</t>
        </is>
      </c>
      <c r="F472" s="2">
        <f>IFERROR(VLOOKUP(E472,Courses!$A:$C,2,FALSE),"")</f>
        <v/>
      </c>
      <c r="G472" s="2">
        <f>IFERROR(VLOOKUP(E472,Courses!$A:$C,3,FALSE),0)</f>
        <v/>
      </c>
      <c r="H472" s="2" t="inlineStr">
        <is>
          <t>C+</t>
        </is>
      </c>
      <c r="I472" s="2" t="n">
        <v>79</v>
      </c>
      <c r="J472" s="2">
        <f>IFERROR(VLOOKUP(H472,'Grade Scale'!$A:$B,2,FALSE),0)</f>
        <v/>
      </c>
      <c r="K472" s="2">
        <f>J472*G472</f>
        <v/>
      </c>
      <c r="L472" s="2">
        <f>IF(H472="F",0,G472)</f>
        <v/>
      </c>
    </row>
    <row r="473">
      <c r="A473" s="2" t="inlineStr">
        <is>
          <t>m250213</t>
        </is>
      </c>
      <c r="B473" s="2">
        <f>IFERROR(VLOOKUP(A473,Students!$A:$B,2,FALSE),"")</f>
        <v/>
      </c>
      <c r="C473" s="2" t="inlineStr">
        <is>
          <t>Spring 2025</t>
        </is>
      </c>
      <c r="D473" s="2" t="inlineStr">
        <is>
          <t>Semester 1</t>
        </is>
      </c>
      <c r="E473" s="2" t="inlineStr">
        <is>
          <t>DES 101</t>
        </is>
      </c>
      <c r="F473" s="2">
        <f>IFERROR(VLOOKUP(E473,Courses!$A:$C,2,FALSE),"")</f>
        <v/>
      </c>
      <c r="G473" s="2">
        <f>IFERROR(VLOOKUP(E473,Courses!$A:$C,3,FALSE),0)</f>
        <v/>
      </c>
      <c r="H473" s="2" t="inlineStr">
        <is>
          <t>C+</t>
        </is>
      </c>
      <c r="I473" s="2" t="n">
        <v>78</v>
      </c>
      <c r="J473" s="2">
        <f>IFERROR(VLOOKUP(H473,'Grade Scale'!$A:$B,2,FALSE),0)</f>
        <v/>
      </c>
      <c r="K473" s="2">
        <f>J473*G473</f>
        <v/>
      </c>
      <c r="L473" s="2">
        <f>IF(H473="F",0,G473)</f>
        <v/>
      </c>
    </row>
    <row r="474">
      <c r="A474" s="2" t="inlineStr">
        <is>
          <t>m250213</t>
        </is>
      </c>
      <c r="B474" s="2">
        <f>IFERROR(VLOOKUP(A474,Students!$A:$B,2,FALSE),"")</f>
        <v/>
      </c>
      <c r="C474" s="2" t="inlineStr">
        <is>
          <t>Spring 2025</t>
        </is>
      </c>
      <c r="D474" s="2" t="inlineStr">
        <is>
          <t>Semester 1</t>
        </is>
      </c>
      <c r="E474" s="2" t="inlineStr">
        <is>
          <t>ART 110</t>
        </is>
      </c>
      <c r="F474" s="2">
        <f>IFERROR(VLOOKUP(E474,Courses!$A:$C,2,FALSE),"")</f>
        <v/>
      </c>
      <c r="G474" s="2">
        <f>IFERROR(VLOOKUP(E474,Courses!$A:$C,3,FALSE),0)</f>
        <v/>
      </c>
      <c r="H474" s="2" t="inlineStr">
        <is>
          <t>D+</t>
        </is>
      </c>
      <c r="I474" s="2" t="n">
        <v>69</v>
      </c>
      <c r="J474" s="2">
        <f>IFERROR(VLOOKUP(H474,'Grade Scale'!$A:$B,2,FALSE),0)</f>
        <v/>
      </c>
      <c r="K474" s="2">
        <f>J474*G474</f>
        <v/>
      </c>
      <c r="L474" s="2">
        <f>IF(H474="F",0,G474)</f>
        <v/>
      </c>
    </row>
    <row r="475">
      <c r="A475" s="2" t="inlineStr">
        <is>
          <t>m250213</t>
        </is>
      </c>
      <c r="B475" s="2">
        <f>IFERROR(VLOOKUP(A475,Students!$A:$B,2,FALSE),"")</f>
        <v/>
      </c>
      <c r="C475" s="2" t="inlineStr">
        <is>
          <t>Spring 2025</t>
        </is>
      </c>
      <c r="D475" s="2" t="inlineStr">
        <is>
          <t>Semester 1</t>
        </is>
      </c>
      <c r="E475" s="2" t="inlineStr">
        <is>
          <t>ENG 101</t>
        </is>
      </c>
      <c r="F475" s="2">
        <f>IFERROR(VLOOKUP(E475,Courses!$A:$C,2,FALSE),"")</f>
        <v/>
      </c>
      <c r="G475" s="2">
        <f>IFERROR(VLOOKUP(E475,Courses!$A:$C,3,FALSE),0)</f>
        <v/>
      </c>
      <c r="H475" s="2" t="inlineStr">
        <is>
          <t>C+</t>
        </is>
      </c>
      <c r="I475" s="2" t="n">
        <v>77</v>
      </c>
      <c r="J475" s="2">
        <f>IFERROR(VLOOKUP(H475,'Grade Scale'!$A:$B,2,FALSE),0)</f>
        <v/>
      </c>
      <c r="K475" s="2">
        <f>J475*G475</f>
        <v/>
      </c>
      <c r="L475" s="2">
        <f>IF(H475="F",0,G475)</f>
        <v/>
      </c>
    </row>
    <row r="476">
      <c r="A476" s="2" t="inlineStr">
        <is>
          <t>m250213</t>
        </is>
      </c>
      <c r="B476" s="2">
        <f>IFERROR(VLOOKUP(A476,Students!$A:$B,2,FALSE),"")</f>
        <v/>
      </c>
      <c r="C476" s="2" t="inlineStr">
        <is>
          <t>Spring 2025</t>
        </is>
      </c>
      <c r="D476" s="2" t="inlineStr">
        <is>
          <t>Semester 1</t>
        </is>
      </c>
      <c r="E476" s="2" t="inlineStr">
        <is>
          <t>HIS 101</t>
        </is>
      </c>
      <c r="F476" s="2">
        <f>IFERROR(VLOOKUP(E476,Courses!$A:$C,2,FALSE),"")</f>
        <v/>
      </c>
      <c r="G476" s="2">
        <f>IFERROR(VLOOKUP(E476,Courses!$A:$C,3,FALSE),0)</f>
        <v/>
      </c>
      <c r="H476" s="2" t="inlineStr">
        <is>
          <t>B</t>
        </is>
      </c>
      <c r="I476" s="2" t="n">
        <v>84</v>
      </c>
      <c r="J476" s="2">
        <f>IFERROR(VLOOKUP(H476,'Grade Scale'!$A:$B,2,FALSE),0)</f>
        <v/>
      </c>
      <c r="K476" s="2">
        <f>J476*G476</f>
        <v/>
      </c>
      <c r="L476" s="2">
        <f>IF(H476="F",0,G476)</f>
        <v/>
      </c>
    </row>
    <row r="477">
      <c r="A477" s="2" t="inlineStr">
        <is>
          <t>m250213</t>
        </is>
      </c>
      <c r="B477" s="2">
        <f>IFERROR(VLOOKUP(A477,Students!$A:$B,2,FALSE),"")</f>
        <v/>
      </c>
      <c r="C477" s="2" t="inlineStr">
        <is>
          <t>Fall 2025</t>
        </is>
      </c>
      <c r="D477" s="2" t="inlineStr">
        <is>
          <t>Semester 2</t>
        </is>
      </c>
      <c r="E477" s="2" t="inlineStr">
        <is>
          <t>DES 150</t>
        </is>
      </c>
      <c r="F477" s="2">
        <f>IFERROR(VLOOKUP(E477,Courses!$A:$C,2,FALSE),"")</f>
        <v/>
      </c>
      <c r="G477" s="2">
        <f>IFERROR(VLOOKUP(E477,Courses!$A:$C,3,FALSE),0)</f>
        <v/>
      </c>
      <c r="H477" s="2" t="inlineStr">
        <is>
          <t>C</t>
        </is>
      </c>
      <c r="I477" s="2" t="n">
        <v>76</v>
      </c>
      <c r="J477" s="2">
        <f>IFERROR(VLOOKUP(H477,'Grade Scale'!$A:$B,2,FALSE),0)</f>
        <v/>
      </c>
      <c r="K477" s="2">
        <f>J477*G477</f>
        <v/>
      </c>
      <c r="L477" s="2">
        <f>IF(H477="F",0,G477)</f>
        <v/>
      </c>
    </row>
    <row r="478">
      <c r="A478" s="2" t="inlineStr">
        <is>
          <t>m250213</t>
        </is>
      </c>
      <c r="B478" s="2">
        <f>IFERROR(VLOOKUP(A478,Students!$A:$B,2,FALSE),"")</f>
        <v/>
      </c>
      <c r="C478" s="2" t="inlineStr">
        <is>
          <t>Fall 2025</t>
        </is>
      </c>
      <c r="D478" s="2" t="inlineStr">
        <is>
          <t>Semester 2</t>
        </is>
      </c>
      <c r="E478" s="2" t="inlineStr">
        <is>
          <t>DES 160</t>
        </is>
      </c>
      <c r="F478" s="2">
        <f>IFERROR(VLOOKUP(E478,Courses!$A:$C,2,FALSE),"")</f>
        <v/>
      </c>
      <c r="G478" s="2">
        <f>IFERROR(VLOOKUP(E478,Courses!$A:$C,3,FALSE),0)</f>
        <v/>
      </c>
      <c r="H478" s="2" t="inlineStr">
        <is>
          <t>C</t>
        </is>
      </c>
      <c r="I478" s="2" t="n">
        <v>73</v>
      </c>
      <c r="J478" s="2">
        <f>IFERROR(VLOOKUP(H478,'Grade Scale'!$A:$B,2,FALSE),0)</f>
        <v/>
      </c>
      <c r="K478" s="2">
        <f>J478*G478</f>
        <v/>
      </c>
      <c r="L478" s="2">
        <f>IF(H478="F",0,G478)</f>
        <v/>
      </c>
    </row>
    <row r="479">
      <c r="A479" s="2" t="inlineStr">
        <is>
          <t>m250213</t>
        </is>
      </c>
      <c r="B479" s="2">
        <f>IFERROR(VLOOKUP(A479,Students!$A:$B,2,FALSE),"")</f>
        <v/>
      </c>
      <c r="C479" s="2" t="inlineStr">
        <is>
          <t>Fall 2025</t>
        </is>
      </c>
      <c r="D479" s="2" t="inlineStr">
        <is>
          <t>Semester 2</t>
        </is>
      </c>
      <c r="E479" s="2" t="inlineStr">
        <is>
          <t>DES 170</t>
        </is>
      </c>
      <c r="F479" s="2">
        <f>IFERROR(VLOOKUP(E479,Courses!$A:$C,2,FALSE),"")</f>
        <v/>
      </c>
      <c r="G479" s="2">
        <f>IFERROR(VLOOKUP(E479,Courses!$A:$C,3,FALSE),0)</f>
        <v/>
      </c>
      <c r="H479" s="2" t="inlineStr">
        <is>
          <t>C-</t>
        </is>
      </c>
      <c r="I479" s="2" t="n">
        <v>70</v>
      </c>
      <c r="J479" s="2">
        <f>IFERROR(VLOOKUP(H479,'Grade Scale'!$A:$B,2,FALSE),0)</f>
        <v/>
      </c>
      <c r="K479" s="2">
        <f>J479*G479</f>
        <v/>
      </c>
      <c r="L479" s="2">
        <f>IF(H479="F",0,G479)</f>
        <v/>
      </c>
    </row>
    <row r="480">
      <c r="A480" s="2" t="inlineStr">
        <is>
          <t>m250213</t>
        </is>
      </c>
      <c r="B480" s="2">
        <f>IFERROR(VLOOKUP(A480,Students!$A:$B,2,FALSE),"")</f>
        <v/>
      </c>
      <c r="C480" s="2" t="inlineStr">
        <is>
          <t>Fall 2025</t>
        </is>
      </c>
      <c r="D480" s="2" t="inlineStr">
        <is>
          <t>Semester 2</t>
        </is>
      </c>
      <c r="E480" s="2" t="inlineStr">
        <is>
          <t>ENG 102</t>
        </is>
      </c>
      <c r="F480" s="2">
        <f>IFERROR(VLOOKUP(E480,Courses!$A:$C,2,FALSE),"")</f>
        <v/>
      </c>
      <c r="G480" s="2">
        <f>IFERROR(VLOOKUP(E480,Courses!$A:$C,3,FALSE),0)</f>
        <v/>
      </c>
      <c r="H480" s="2" t="inlineStr">
        <is>
          <t>D+</t>
        </is>
      </c>
      <c r="I480" s="2" t="n">
        <v>69</v>
      </c>
      <c r="J480" s="2">
        <f>IFERROR(VLOOKUP(H480,'Grade Scale'!$A:$B,2,FALSE),0)</f>
        <v/>
      </c>
      <c r="K480" s="2">
        <f>J480*G480</f>
        <v/>
      </c>
      <c r="L480" s="2">
        <f>IF(H480="F",0,G480)</f>
        <v/>
      </c>
    </row>
    <row r="481">
      <c r="A481" s="2" t="inlineStr">
        <is>
          <t>m250213</t>
        </is>
      </c>
      <c r="B481" s="2">
        <f>IFERROR(VLOOKUP(A481,Students!$A:$B,2,FALSE),"")</f>
        <v/>
      </c>
      <c r="C481" s="2" t="inlineStr">
        <is>
          <t>Fall 2025</t>
        </is>
      </c>
      <c r="D481" s="2" t="inlineStr">
        <is>
          <t>Semester 2</t>
        </is>
      </c>
      <c r="E481" s="2" t="inlineStr">
        <is>
          <t>ART 150</t>
        </is>
      </c>
      <c r="F481" s="2">
        <f>IFERROR(VLOOKUP(E481,Courses!$A:$C,2,FALSE),"")</f>
        <v/>
      </c>
      <c r="G481" s="2">
        <f>IFERROR(VLOOKUP(E481,Courses!$A:$C,3,FALSE),0)</f>
        <v/>
      </c>
      <c r="H481" s="2" t="inlineStr">
        <is>
          <t>D</t>
        </is>
      </c>
      <c r="I481" s="2" t="n">
        <v>63</v>
      </c>
      <c r="J481" s="2">
        <f>IFERROR(VLOOKUP(H481,'Grade Scale'!$A:$B,2,FALSE),0)</f>
        <v/>
      </c>
      <c r="K481" s="2">
        <f>J481*G481</f>
        <v/>
      </c>
      <c r="L481" s="2">
        <f>IF(H481="F",0,G481)</f>
        <v/>
      </c>
    </row>
    <row r="482">
      <c r="A482" s="2" t="inlineStr">
        <is>
          <t>m250309</t>
        </is>
      </c>
      <c r="B482" s="2">
        <f>IFERROR(VLOOKUP(A482,Students!$A:$B,2,FALSE),"")</f>
        <v/>
      </c>
      <c r="C482" s="2" t="inlineStr">
        <is>
          <t>Fall 2025</t>
        </is>
      </c>
      <c r="D482" s="2" t="inlineStr">
        <is>
          <t>Semester 1</t>
        </is>
      </c>
      <c r="E482" s="2" t="inlineStr">
        <is>
          <t>TAM 530</t>
        </is>
      </c>
      <c r="F482" s="2">
        <f>IFERROR(VLOOKUP(E482,Courses!$A:$C,2,FALSE),"")</f>
        <v/>
      </c>
      <c r="G482" s="2">
        <f>IFERROR(VLOOKUP(E482,Courses!$A:$C,3,FALSE),0)</f>
        <v/>
      </c>
      <c r="H482" s="2" t="inlineStr">
        <is>
          <t>A</t>
        </is>
      </c>
      <c r="I482" s="2" t="n">
        <v>93</v>
      </c>
      <c r="J482" s="2">
        <f>IFERROR(VLOOKUP(H482,'Grade Scale'!$A:$B,2,FALSE),0)</f>
        <v/>
      </c>
      <c r="K482" s="2">
        <f>J482*G482</f>
        <v/>
      </c>
      <c r="L482" s="2">
        <f>IF(H482="F",0,G482)</f>
        <v/>
      </c>
    </row>
    <row r="483">
      <c r="A483" s="2" t="inlineStr">
        <is>
          <t>m250309</t>
        </is>
      </c>
      <c r="B483" s="2">
        <f>IFERROR(VLOOKUP(A483,Students!$A:$B,2,FALSE),"")</f>
        <v/>
      </c>
      <c r="C483" s="2" t="inlineStr">
        <is>
          <t>Fall 2025</t>
        </is>
      </c>
      <c r="D483" s="2" t="inlineStr">
        <is>
          <t>Semester 1</t>
        </is>
      </c>
      <c r="E483" s="2" t="inlineStr">
        <is>
          <t>TGM 586</t>
        </is>
      </c>
      <c r="F483" s="2">
        <f>IFERROR(VLOOKUP(E483,Courses!$A:$C,2,FALSE),"")</f>
        <v/>
      </c>
      <c r="G483" s="2">
        <f>IFERROR(VLOOKUP(E483,Courses!$A:$C,3,FALSE),0)</f>
        <v/>
      </c>
      <c r="H483" s="2" t="inlineStr">
        <is>
          <t>C+</t>
        </is>
      </c>
      <c r="I483" s="2" t="n">
        <v>77</v>
      </c>
      <c r="J483" s="2">
        <f>IFERROR(VLOOKUP(H483,'Grade Scale'!$A:$B,2,FALSE),0)</f>
        <v/>
      </c>
      <c r="K483" s="2">
        <f>J483*G483</f>
        <v/>
      </c>
      <c r="L483" s="2">
        <f>IF(H483="F",0,G483)</f>
        <v/>
      </c>
    </row>
    <row r="484">
      <c r="A484" s="2" t="inlineStr">
        <is>
          <t>m250309</t>
        </is>
      </c>
      <c r="B484" s="2">
        <f>IFERROR(VLOOKUP(A484,Students!$A:$B,2,FALSE),"")</f>
        <v/>
      </c>
      <c r="C484" s="2" t="inlineStr">
        <is>
          <t>Fall 2025</t>
        </is>
      </c>
      <c r="D484" s="2" t="inlineStr">
        <is>
          <t>Semester 1</t>
        </is>
      </c>
      <c r="E484" s="2" t="inlineStr">
        <is>
          <t>TAM 557</t>
        </is>
      </c>
      <c r="F484" s="2">
        <f>IFERROR(VLOOKUP(E484,Courses!$A:$C,2,FALSE),"")</f>
        <v/>
      </c>
      <c r="G484" s="2">
        <f>IFERROR(VLOOKUP(E484,Courses!$A:$C,3,FALSE),0)</f>
        <v/>
      </c>
      <c r="H484" s="2" t="inlineStr">
        <is>
          <t>A-</t>
        </is>
      </c>
      <c r="I484" s="2" t="n">
        <v>92</v>
      </c>
      <c r="J484" s="2">
        <f>IFERROR(VLOOKUP(H484,'Grade Scale'!$A:$B,2,FALSE),0)</f>
        <v/>
      </c>
      <c r="K484" s="2">
        <f>J484*G484</f>
        <v/>
      </c>
      <c r="L484" s="2">
        <f>IF(H484="F",0,G484)</f>
        <v/>
      </c>
    </row>
    <row r="485">
      <c r="A485" s="2" t="inlineStr">
        <is>
          <t>m250309</t>
        </is>
      </c>
      <c r="B485" s="2">
        <f>IFERROR(VLOOKUP(A485,Students!$A:$B,2,FALSE),"")</f>
        <v/>
      </c>
      <c r="C485" s="2" t="inlineStr">
        <is>
          <t>Fall 2025</t>
        </is>
      </c>
      <c r="D485" s="2" t="inlineStr">
        <is>
          <t>Semester 1</t>
        </is>
      </c>
      <c r="E485" s="2" t="inlineStr">
        <is>
          <t>TAM 542</t>
        </is>
      </c>
      <c r="F485" s="2">
        <f>IFERROR(VLOOKUP(E485,Courses!$A:$C,2,FALSE),"")</f>
        <v/>
      </c>
      <c r="G485" s="2">
        <f>IFERROR(VLOOKUP(E485,Courses!$A:$C,3,FALSE),0)</f>
        <v/>
      </c>
      <c r="H485" s="2" t="inlineStr">
        <is>
          <t>B-</t>
        </is>
      </c>
      <c r="I485" s="2" t="n">
        <v>80</v>
      </c>
      <c r="J485" s="2">
        <f>IFERROR(VLOOKUP(H485,'Grade Scale'!$A:$B,2,FALSE),0)</f>
        <v/>
      </c>
      <c r="K485" s="2">
        <f>J485*G485</f>
        <v/>
      </c>
      <c r="L485" s="2">
        <f>IF(H485="F",0,G485)</f>
        <v/>
      </c>
    </row>
    <row r="486">
      <c r="A486" s="2" t="inlineStr">
        <is>
          <t>m250309</t>
        </is>
      </c>
      <c r="B486" s="2">
        <f>IFERROR(VLOOKUP(A486,Students!$A:$B,2,FALSE),"")</f>
        <v/>
      </c>
      <c r="C486" s="2" t="inlineStr">
        <is>
          <t>Fall 2025</t>
        </is>
      </c>
      <c r="D486" s="2" t="inlineStr">
        <is>
          <t>Semester 1</t>
        </is>
      </c>
      <c r="E486" s="2" t="inlineStr">
        <is>
          <t>TAM 511</t>
        </is>
      </c>
      <c r="F486" s="2">
        <f>IFERROR(VLOOKUP(E486,Courses!$A:$C,2,FALSE),"")</f>
        <v/>
      </c>
      <c r="G486" s="2">
        <f>IFERROR(VLOOKUP(E486,Courses!$A:$C,3,FALSE),0)</f>
        <v/>
      </c>
      <c r="H486" s="2" t="inlineStr">
        <is>
          <t>C+</t>
        </is>
      </c>
      <c r="I486" s="2" t="n">
        <v>79</v>
      </c>
      <c r="J486" s="2">
        <f>IFERROR(VLOOKUP(H486,'Grade Scale'!$A:$B,2,FALSE),0)</f>
        <v/>
      </c>
      <c r="K486" s="2">
        <f>J486*G486</f>
        <v/>
      </c>
      <c r="L486" s="2">
        <f>IF(H486="F",0,G486)</f>
        <v/>
      </c>
    </row>
    <row r="487">
      <c r="A487" s="2" t="inlineStr">
        <is>
          <t>m250309</t>
        </is>
      </c>
      <c r="B487" s="2">
        <f>IFERROR(VLOOKUP(A487,Students!$A:$B,2,FALSE),"")</f>
        <v/>
      </c>
      <c r="C487" s="2" t="inlineStr">
        <is>
          <t>Spring 2026</t>
        </is>
      </c>
      <c r="D487" s="2" t="inlineStr">
        <is>
          <t>Semester 2</t>
        </is>
      </c>
      <c r="E487" s="2" t="inlineStr">
        <is>
          <t>IAL 503</t>
        </is>
      </c>
      <c r="F487" s="2">
        <f>IFERROR(VLOOKUP(E487,Courses!$A:$C,2,FALSE),"")</f>
        <v/>
      </c>
      <c r="G487" s="2">
        <f>IFERROR(VLOOKUP(E487,Courses!$A:$C,3,FALSE),0)</f>
        <v/>
      </c>
      <c r="H487" s="2" t="inlineStr">
        <is>
          <t>B-</t>
        </is>
      </c>
      <c r="I487" s="2" t="n">
        <v>82</v>
      </c>
      <c r="J487" s="2">
        <f>IFERROR(VLOOKUP(H487,'Grade Scale'!$A:$B,2,FALSE),0)</f>
        <v/>
      </c>
      <c r="K487" s="2">
        <f>J487*G487</f>
        <v/>
      </c>
      <c r="L487" s="2">
        <f>IF(H487="F",0,G487)</f>
        <v/>
      </c>
    </row>
    <row r="488">
      <c r="A488" s="2" t="inlineStr">
        <is>
          <t>m250309</t>
        </is>
      </c>
      <c r="B488" s="2">
        <f>IFERROR(VLOOKUP(A488,Students!$A:$B,2,FALSE),"")</f>
        <v/>
      </c>
      <c r="C488" s="2" t="inlineStr">
        <is>
          <t>Spring 2026</t>
        </is>
      </c>
      <c r="D488" s="2" t="inlineStr">
        <is>
          <t>Semester 2</t>
        </is>
      </c>
      <c r="E488" s="2" t="inlineStr">
        <is>
          <t>FIN 560</t>
        </is>
      </c>
      <c r="F488" s="2">
        <f>IFERROR(VLOOKUP(E488,Courses!$A:$C,2,FALSE),"")</f>
        <v/>
      </c>
      <c r="G488" s="2">
        <f>IFERROR(VLOOKUP(E488,Courses!$A:$C,3,FALSE),0)</f>
        <v/>
      </c>
      <c r="H488" s="2" t="inlineStr">
        <is>
          <t>B-</t>
        </is>
      </c>
      <c r="I488" s="2" t="n">
        <v>80</v>
      </c>
      <c r="J488" s="2">
        <f>IFERROR(VLOOKUP(H488,'Grade Scale'!$A:$B,2,FALSE),0)</f>
        <v/>
      </c>
      <c r="K488" s="2">
        <f>J488*G488</f>
        <v/>
      </c>
      <c r="L488" s="2">
        <f>IF(H488="F",0,G488)</f>
        <v/>
      </c>
    </row>
    <row r="489">
      <c r="A489" s="2" t="inlineStr">
        <is>
          <t>m250309</t>
        </is>
      </c>
      <c r="B489" s="2">
        <f>IFERROR(VLOOKUP(A489,Students!$A:$B,2,FALSE),"")</f>
        <v/>
      </c>
      <c r="C489" s="2" t="inlineStr">
        <is>
          <t>Spring 2026</t>
        </is>
      </c>
      <c r="D489" s="2" t="inlineStr">
        <is>
          <t>Semester 2</t>
        </is>
      </c>
      <c r="E489" s="2" t="inlineStr">
        <is>
          <t>TGM 551</t>
        </is>
      </c>
      <c r="F489" s="2">
        <f>IFERROR(VLOOKUP(E489,Courses!$A:$C,2,FALSE),"")</f>
        <v/>
      </c>
      <c r="G489" s="2">
        <f>IFERROR(VLOOKUP(E489,Courses!$A:$C,3,FALSE),0)</f>
        <v/>
      </c>
      <c r="H489" s="2" t="inlineStr">
        <is>
          <t>B+</t>
        </is>
      </c>
      <c r="I489" s="2" t="n">
        <v>87</v>
      </c>
      <c r="J489" s="2">
        <f>IFERROR(VLOOKUP(H489,'Grade Scale'!$A:$B,2,FALSE),0)</f>
        <v/>
      </c>
      <c r="K489" s="2">
        <f>J489*G489</f>
        <v/>
      </c>
      <c r="L489" s="2">
        <f>IF(H489="F",0,G489)</f>
        <v/>
      </c>
    </row>
    <row r="490">
      <c r="A490" s="2" t="inlineStr">
        <is>
          <t>m250309</t>
        </is>
      </c>
      <c r="B490" s="2">
        <f>IFERROR(VLOOKUP(A490,Students!$A:$B,2,FALSE),"")</f>
        <v/>
      </c>
      <c r="C490" s="2" t="inlineStr">
        <is>
          <t>Spring 2026</t>
        </is>
      </c>
      <c r="D490" s="2" t="inlineStr">
        <is>
          <t>Semester 2</t>
        </is>
      </c>
      <c r="E490" s="2" t="inlineStr">
        <is>
          <t>TAM 505</t>
        </is>
      </c>
      <c r="F490" s="2">
        <f>IFERROR(VLOOKUP(E490,Courses!$A:$C,2,FALSE),"")</f>
        <v/>
      </c>
      <c r="G490" s="2">
        <f>IFERROR(VLOOKUP(E490,Courses!$A:$C,3,FALSE),0)</f>
        <v/>
      </c>
      <c r="H490" s="2" t="inlineStr">
        <is>
          <t>A-</t>
        </is>
      </c>
      <c r="I490" s="2" t="n">
        <v>92</v>
      </c>
      <c r="J490" s="2">
        <f>IFERROR(VLOOKUP(H490,'Grade Scale'!$A:$B,2,FALSE),0)</f>
        <v/>
      </c>
      <c r="K490" s="2">
        <f>J490*G490</f>
        <v/>
      </c>
      <c r="L490" s="2">
        <f>IF(H490="F",0,G490)</f>
        <v/>
      </c>
    </row>
    <row r="491">
      <c r="A491" s="2" t="inlineStr">
        <is>
          <t>m250309</t>
        </is>
      </c>
      <c r="B491" s="2">
        <f>IFERROR(VLOOKUP(A491,Students!$A:$B,2,FALSE),"")</f>
        <v/>
      </c>
      <c r="C491" s="2" t="inlineStr">
        <is>
          <t>Spring 2026</t>
        </is>
      </c>
      <c r="D491" s="2" t="inlineStr">
        <is>
          <t>Semester 2</t>
        </is>
      </c>
      <c r="E491" s="2" t="inlineStr">
        <is>
          <t>TGM 507</t>
        </is>
      </c>
      <c r="F491" s="2">
        <f>IFERROR(VLOOKUP(E491,Courses!$A:$C,2,FALSE),"")</f>
        <v/>
      </c>
      <c r="G491" s="2">
        <f>IFERROR(VLOOKUP(E491,Courses!$A:$C,3,FALSE),0)</f>
        <v/>
      </c>
      <c r="H491" s="2" t="inlineStr">
        <is>
          <t>C+</t>
        </is>
      </c>
      <c r="I491" s="2" t="n">
        <v>79</v>
      </c>
      <c r="J491" s="2">
        <f>IFERROR(VLOOKUP(H491,'Grade Scale'!$A:$B,2,FALSE),0)</f>
        <v/>
      </c>
      <c r="K491" s="2">
        <f>J491*G491</f>
        <v/>
      </c>
      <c r="L491" s="2">
        <f>IF(H491="F",0,G491)</f>
        <v/>
      </c>
    </row>
    <row r="492">
      <c r="A492" s="2" t="inlineStr">
        <is>
          <t>m240112</t>
        </is>
      </c>
      <c r="B492" s="2">
        <f>IFERROR(VLOOKUP(A492,Students!$A:$B,2,FALSE),"")</f>
        <v/>
      </c>
      <c r="C492" s="2" t="inlineStr">
        <is>
          <t>Fall 2024</t>
        </is>
      </c>
      <c r="D492" s="2" t="inlineStr">
        <is>
          <t>Semester 1</t>
        </is>
      </c>
      <c r="E492" s="2" t="inlineStr">
        <is>
          <t>MBA 501</t>
        </is>
      </c>
      <c r="F492" s="2">
        <f>IFERROR(VLOOKUP(E492,Courses!$A:$C,2,FALSE),"")</f>
        <v/>
      </c>
      <c r="G492" s="2">
        <f>IFERROR(VLOOKUP(E492,Courses!$A:$C,3,FALSE),0)</f>
        <v/>
      </c>
      <c r="H492" s="2" t="inlineStr">
        <is>
          <t>A</t>
        </is>
      </c>
      <c r="I492" s="2" t="n">
        <v>98</v>
      </c>
      <c r="J492" s="2">
        <f>IFERROR(VLOOKUP(H492,'Grade Scale'!$A:$B,2,FALSE),0)</f>
        <v/>
      </c>
      <c r="K492" s="2">
        <f>J492*G492</f>
        <v/>
      </c>
      <c r="L492" s="2">
        <f>IF(H492="F",0,G492)</f>
        <v/>
      </c>
    </row>
    <row r="493">
      <c r="A493" s="2" t="inlineStr">
        <is>
          <t>m240112</t>
        </is>
      </c>
      <c r="B493" s="2">
        <f>IFERROR(VLOOKUP(A493,Students!$A:$B,2,FALSE),"")</f>
        <v/>
      </c>
      <c r="C493" s="2" t="inlineStr">
        <is>
          <t>Fall 2024</t>
        </is>
      </c>
      <c r="D493" s="2" t="inlineStr">
        <is>
          <t>Semester 1</t>
        </is>
      </c>
      <c r="E493" s="2" t="inlineStr">
        <is>
          <t>MBA 510</t>
        </is>
      </c>
      <c r="F493" s="2">
        <f>IFERROR(VLOOKUP(E493,Courses!$A:$C,2,FALSE),"")</f>
        <v/>
      </c>
      <c r="G493" s="2">
        <f>IFERROR(VLOOKUP(E493,Courses!$A:$C,3,FALSE),0)</f>
        <v/>
      </c>
      <c r="H493" s="2" t="inlineStr">
        <is>
          <t>A-</t>
        </is>
      </c>
      <c r="I493" s="2" t="n">
        <v>91</v>
      </c>
      <c r="J493" s="2">
        <f>IFERROR(VLOOKUP(H493,'Grade Scale'!$A:$B,2,FALSE),0)</f>
        <v/>
      </c>
      <c r="K493" s="2">
        <f>J493*G493</f>
        <v/>
      </c>
      <c r="L493" s="2">
        <f>IF(H493="F",0,G493)</f>
        <v/>
      </c>
    </row>
    <row r="494">
      <c r="A494" s="2" t="inlineStr">
        <is>
          <t>m240112</t>
        </is>
      </c>
      <c r="B494" s="2">
        <f>IFERROR(VLOOKUP(A494,Students!$A:$B,2,FALSE),"")</f>
        <v/>
      </c>
      <c r="C494" s="2" t="inlineStr">
        <is>
          <t>Fall 2024</t>
        </is>
      </c>
      <c r="D494" s="2" t="inlineStr">
        <is>
          <t>Semester 1</t>
        </is>
      </c>
      <c r="E494" s="2" t="inlineStr">
        <is>
          <t>MBA 520</t>
        </is>
      </c>
      <c r="F494" s="2">
        <f>IFERROR(VLOOKUP(E494,Courses!$A:$C,2,FALSE),"")</f>
        <v/>
      </c>
      <c r="G494" s="2">
        <f>IFERROR(VLOOKUP(E494,Courses!$A:$C,3,FALSE),0)</f>
        <v/>
      </c>
      <c r="H494" s="2" t="inlineStr">
        <is>
          <t>A-</t>
        </is>
      </c>
      <c r="I494" s="2" t="n">
        <v>90</v>
      </c>
      <c r="J494" s="2">
        <f>IFERROR(VLOOKUP(H494,'Grade Scale'!$A:$B,2,FALSE),0)</f>
        <v/>
      </c>
      <c r="K494" s="2">
        <f>J494*G494</f>
        <v/>
      </c>
      <c r="L494" s="2">
        <f>IF(H494="F",0,G494)</f>
        <v/>
      </c>
    </row>
    <row r="495">
      <c r="A495" s="2" t="inlineStr">
        <is>
          <t>m240112</t>
        </is>
      </c>
      <c r="B495" s="2">
        <f>IFERROR(VLOOKUP(A495,Students!$A:$B,2,FALSE),"")</f>
        <v/>
      </c>
      <c r="C495" s="2" t="inlineStr">
        <is>
          <t>Fall 2024</t>
        </is>
      </c>
      <c r="D495" s="2" t="inlineStr">
        <is>
          <t>Semester 1</t>
        </is>
      </c>
      <c r="E495" s="2" t="inlineStr">
        <is>
          <t>MBA 530</t>
        </is>
      </c>
      <c r="F495" s="2">
        <f>IFERROR(VLOOKUP(E495,Courses!$A:$C,2,FALSE),"")</f>
        <v/>
      </c>
      <c r="G495" s="2">
        <f>IFERROR(VLOOKUP(E495,Courses!$A:$C,3,FALSE),0)</f>
        <v/>
      </c>
      <c r="H495" s="2" t="inlineStr">
        <is>
          <t>A</t>
        </is>
      </c>
      <c r="I495" s="2" t="n">
        <v>95</v>
      </c>
      <c r="J495" s="2">
        <f>IFERROR(VLOOKUP(H495,'Grade Scale'!$A:$B,2,FALSE),0)</f>
        <v/>
      </c>
      <c r="K495" s="2">
        <f>J495*G495</f>
        <v/>
      </c>
      <c r="L495" s="2">
        <f>IF(H495="F",0,G495)</f>
        <v/>
      </c>
    </row>
    <row r="496">
      <c r="A496" s="2" t="inlineStr">
        <is>
          <t>m240112</t>
        </is>
      </c>
      <c r="B496" s="2">
        <f>IFERROR(VLOOKUP(A496,Students!$A:$B,2,FALSE),"")</f>
        <v/>
      </c>
      <c r="C496" s="2" t="inlineStr">
        <is>
          <t>Fall 2024</t>
        </is>
      </c>
      <c r="D496" s="2" t="inlineStr">
        <is>
          <t>Semester 1</t>
        </is>
      </c>
      <c r="E496" s="2" t="inlineStr">
        <is>
          <t>MBA 540</t>
        </is>
      </c>
      <c r="F496" s="2">
        <f>IFERROR(VLOOKUP(E496,Courses!$A:$C,2,FALSE),"")</f>
        <v/>
      </c>
      <c r="G496" s="2">
        <f>IFERROR(VLOOKUP(E496,Courses!$A:$C,3,FALSE),0)</f>
        <v/>
      </c>
      <c r="H496" s="2" t="inlineStr">
        <is>
          <t>B</t>
        </is>
      </c>
      <c r="I496" s="2" t="n">
        <v>86</v>
      </c>
      <c r="J496" s="2">
        <f>IFERROR(VLOOKUP(H496,'Grade Scale'!$A:$B,2,FALSE),0)</f>
        <v/>
      </c>
      <c r="K496" s="2">
        <f>J496*G496</f>
        <v/>
      </c>
      <c r="L496" s="2">
        <f>IF(H496="F",0,G496)</f>
        <v/>
      </c>
    </row>
    <row r="497">
      <c r="A497" s="2" t="inlineStr">
        <is>
          <t>m240112</t>
        </is>
      </c>
      <c r="B497" s="2">
        <f>IFERROR(VLOOKUP(A497,Students!$A:$B,2,FALSE),"")</f>
        <v/>
      </c>
      <c r="C497" s="2" t="inlineStr">
        <is>
          <t>Spring 2025</t>
        </is>
      </c>
      <c r="D497" s="2" t="inlineStr">
        <is>
          <t>Semester 2</t>
        </is>
      </c>
      <c r="E497" s="2" t="inlineStr">
        <is>
          <t>MBA 550</t>
        </is>
      </c>
      <c r="F497" s="2">
        <f>IFERROR(VLOOKUP(E497,Courses!$A:$C,2,FALSE),"")</f>
        <v/>
      </c>
      <c r="G497" s="2">
        <f>IFERROR(VLOOKUP(E497,Courses!$A:$C,3,FALSE),0)</f>
        <v/>
      </c>
      <c r="H497" s="2" t="inlineStr">
        <is>
          <t>B</t>
        </is>
      </c>
      <c r="I497" s="2" t="n">
        <v>85</v>
      </c>
      <c r="J497" s="2">
        <f>IFERROR(VLOOKUP(H497,'Grade Scale'!$A:$B,2,FALSE),0)</f>
        <v/>
      </c>
      <c r="K497" s="2">
        <f>J497*G497</f>
        <v/>
      </c>
      <c r="L497" s="2">
        <f>IF(H497="F",0,G497)</f>
        <v/>
      </c>
    </row>
    <row r="498">
      <c r="A498" s="2" t="inlineStr">
        <is>
          <t>m240112</t>
        </is>
      </c>
      <c r="B498" s="2">
        <f>IFERROR(VLOOKUP(A498,Students!$A:$B,2,FALSE),"")</f>
        <v/>
      </c>
      <c r="C498" s="2" t="inlineStr">
        <is>
          <t>Spring 2025</t>
        </is>
      </c>
      <c r="D498" s="2" t="inlineStr">
        <is>
          <t>Semester 2</t>
        </is>
      </c>
      <c r="E498" s="2" t="inlineStr">
        <is>
          <t>MBA 560</t>
        </is>
      </c>
      <c r="F498" s="2">
        <f>IFERROR(VLOOKUP(E498,Courses!$A:$C,2,FALSE),"")</f>
        <v/>
      </c>
      <c r="G498" s="2">
        <f>IFERROR(VLOOKUP(E498,Courses!$A:$C,3,FALSE),0)</f>
        <v/>
      </c>
      <c r="H498" s="2" t="inlineStr">
        <is>
          <t>A-</t>
        </is>
      </c>
      <c r="I498" s="2" t="n">
        <v>91</v>
      </c>
      <c r="J498" s="2">
        <f>IFERROR(VLOOKUP(H498,'Grade Scale'!$A:$B,2,FALSE),0)</f>
        <v/>
      </c>
      <c r="K498" s="2">
        <f>J498*G498</f>
        <v/>
      </c>
      <c r="L498" s="2">
        <f>IF(H498="F",0,G498)</f>
        <v/>
      </c>
    </row>
    <row r="499">
      <c r="A499" s="2" t="inlineStr">
        <is>
          <t>m240112</t>
        </is>
      </c>
      <c r="B499" s="2">
        <f>IFERROR(VLOOKUP(A499,Students!$A:$B,2,FALSE),"")</f>
        <v/>
      </c>
      <c r="C499" s="2" t="inlineStr">
        <is>
          <t>Spring 2025</t>
        </is>
      </c>
      <c r="D499" s="2" t="inlineStr">
        <is>
          <t>Semester 2</t>
        </is>
      </c>
      <c r="E499" s="2" t="inlineStr">
        <is>
          <t>MBA 570</t>
        </is>
      </c>
      <c r="F499" s="2">
        <f>IFERROR(VLOOKUP(E499,Courses!$A:$C,2,FALSE),"")</f>
        <v/>
      </c>
      <c r="G499" s="2">
        <f>IFERROR(VLOOKUP(E499,Courses!$A:$C,3,FALSE),0)</f>
        <v/>
      </c>
      <c r="H499" s="2" t="inlineStr">
        <is>
          <t>B</t>
        </is>
      </c>
      <c r="I499" s="2" t="n">
        <v>83</v>
      </c>
      <c r="J499" s="2">
        <f>IFERROR(VLOOKUP(H499,'Grade Scale'!$A:$B,2,FALSE),0)</f>
        <v/>
      </c>
      <c r="K499" s="2">
        <f>J499*G499</f>
        <v/>
      </c>
      <c r="L499" s="2">
        <f>IF(H499="F",0,G499)</f>
        <v/>
      </c>
    </row>
    <row r="500">
      <c r="A500" s="2" t="inlineStr">
        <is>
          <t>m240112</t>
        </is>
      </c>
      <c r="B500" s="2">
        <f>IFERROR(VLOOKUP(A500,Students!$A:$B,2,FALSE),"")</f>
        <v/>
      </c>
      <c r="C500" s="2" t="inlineStr">
        <is>
          <t>Spring 2025</t>
        </is>
      </c>
      <c r="D500" s="2" t="inlineStr">
        <is>
          <t>Semester 2</t>
        </is>
      </c>
      <c r="E500" s="2" t="inlineStr">
        <is>
          <t>MBA 580</t>
        </is>
      </c>
      <c r="F500" s="2">
        <f>IFERROR(VLOOKUP(E500,Courses!$A:$C,2,FALSE),"")</f>
        <v/>
      </c>
      <c r="G500" s="2">
        <f>IFERROR(VLOOKUP(E500,Courses!$A:$C,3,FALSE),0)</f>
        <v/>
      </c>
      <c r="H500" s="2" t="inlineStr">
        <is>
          <t>A</t>
        </is>
      </c>
      <c r="I500" s="2" t="n">
        <v>94</v>
      </c>
      <c r="J500" s="2">
        <f>IFERROR(VLOOKUP(H500,'Grade Scale'!$A:$B,2,FALSE),0)</f>
        <v/>
      </c>
      <c r="K500" s="2">
        <f>J500*G500</f>
        <v/>
      </c>
      <c r="L500" s="2">
        <f>IF(H500="F",0,G500)</f>
        <v/>
      </c>
    </row>
    <row r="501">
      <c r="A501" s="2" t="inlineStr">
        <is>
          <t>m240112</t>
        </is>
      </c>
      <c r="B501" s="2">
        <f>IFERROR(VLOOKUP(A501,Students!$A:$B,2,FALSE),"")</f>
        <v/>
      </c>
      <c r="C501" s="2" t="inlineStr">
        <is>
          <t>Spring 2025</t>
        </is>
      </c>
      <c r="D501" s="2" t="inlineStr">
        <is>
          <t>Semester 2</t>
        </is>
      </c>
      <c r="E501" s="2" t="inlineStr">
        <is>
          <t>MBA 590</t>
        </is>
      </c>
      <c r="F501" s="2">
        <f>IFERROR(VLOOKUP(E501,Courses!$A:$C,2,FALSE),"")</f>
        <v/>
      </c>
      <c r="G501" s="2">
        <f>IFERROR(VLOOKUP(E501,Courses!$A:$C,3,FALSE),0)</f>
        <v/>
      </c>
      <c r="H501" s="2" t="inlineStr">
        <is>
          <t>B</t>
        </is>
      </c>
      <c r="I501" s="2" t="n">
        <v>86</v>
      </c>
      <c r="J501" s="2">
        <f>IFERROR(VLOOKUP(H501,'Grade Scale'!$A:$B,2,FALSE),0)</f>
        <v/>
      </c>
      <c r="K501" s="2">
        <f>J501*G501</f>
        <v/>
      </c>
      <c r="L501" s="2">
        <f>IF(H501="F",0,G501)</f>
        <v/>
      </c>
    </row>
    <row r="502">
      <c r="A502" s="2" t="inlineStr">
        <is>
          <t>m240112</t>
        </is>
      </c>
      <c r="B502" s="2">
        <f>IFERROR(VLOOKUP(A502,Students!$A:$B,2,FALSE),"")</f>
        <v/>
      </c>
      <c r="C502" s="2" t="inlineStr">
        <is>
          <t>Fall 2025</t>
        </is>
      </c>
      <c r="D502" s="2" t="inlineStr">
        <is>
          <t>Semester 3</t>
        </is>
      </c>
      <c r="E502" s="2" t="inlineStr">
        <is>
          <t>MBA 610</t>
        </is>
      </c>
      <c r="F502" s="2">
        <f>IFERROR(VLOOKUP(E502,Courses!$A:$C,2,FALSE),"")</f>
        <v/>
      </c>
      <c r="G502" s="2">
        <f>IFERROR(VLOOKUP(E502,Courses!$A:$C,3,FALSE),0)</f>
        <v/>
      </c>
      <c r="H502" s="2" t="inlineStr">
        <is>
          <t>A</t>
        </is>
      </c>
      <c r="I502" s="2" t="n">
        <v>94</v>
      </c>
      <c r="J502" s="2">
        <f>IFERROR(VLOOKUP(H502,'Grade Scale'!$A:$B,2,FALSE),0)</f>
        <v/>
      </c>
      <c r="K502" s="2">
        <f>J502*G502</f>
        <v/>
      </c>
      <c r="L502" s="2">
        <f>IF(H502="F",0,G502)</f>
        <v/>
      </c>
    </row>
    <row r="503">
      <c r="A503" s="2" t="inlineStr">
        <is>
          <t>m240112</t>
        </is>
      </c>
      <c r="B503" s="2">
        <f>IFERROR(VLOOKUP(A503,Students!$A:$B,2,FALSE),"")</f>
        <v/>
      </c>
      <c r="C503" s="2" t="inlineStr">
        <is>
          <t>Fall 2025</t>
        </is>
      </c>
      <c r="D503" s="2" t="inlineStr">
        <is>
          <t>Semester 3</t>
        </is>
      </c>
      <c r="E503" s="2" t="inlineStr">
        <is>
          <t>MBA 620</t>
        </is>
      </c>
      <c r="F503" s="2">
        <f>IFERROR(VLOOKUP(E503,Courses!$A:$C,2,FALSE),"")</f>
        <v/>
      </c>
      <c r="G503" s="2">
        <f>IFERROR(VLOOKUP(E503,Courses!$A:$C,3,FALSE),0)</f>
        <v/>
      </c>
      <c r="H503" s="2" t="inlineStr">
        <is>
          <t>A-</t>
        </is>
      </c>
      <c r="I503" s="2" t="n">
        <v>91</v>
      </c>
      <c r="J503" s="2">
        <f>IFERROR(VLOOKUP(H503,'Grade Scale'!$A:$B,2,FALSE),0)</f>
        <v/>
      </c>
      <c r="K503" s="2">
        <f>J503*G503</f>
        <v/>
      </c>
      <c r="L503" s="2">
        <f>IF(H503="F",0,G503)</f>
        <v/>
      </c>
    </row>
    <row r="504">
      <c r="A504" s="2" t="inlineStr">
        <is>
          <t>m240112</t>
        </is>
      </c>
      <c r="B504" s="2">
        <f>IFERROR(VLOOKUP(A504,Students!$A:$B,2,FALSE),"")</f>
        <v/>
      </c>
      <c r="C504" s="2" t="inlineStr">
        <is>
          <t>Fall 2025</t>
        </is>
      </c>
      <c r="D504" s="2" t="inlineStr">
        <is>
          <t>Semester 3</t>
        </is>
      </c>
      <c r="E504" s="2" t="inlineStr">
        <is>
          <t>MBA 630</t>
        </is>
      </c>
      <c r="F504" s="2">
        <f>IFERROR(VLOOKUP(E504,Courses!$A:$C,2,FALSE),"")</f>
        <v/>
      </c>
      <c r="G504" s="2">
        <f>IFERROR(VLOOKUP(E504,Courses!$A:$C,3,FALSE),0)</f>
        <v/>
      </c>
      <c r="H504" s="2" t="inlineStr">
        <is>
          <t>A</t>
        </is>
      </c>
      <c r="I504" s="2" t="n">
        <v>99</v>
      </c>
      <c r="J504" s="2">
        <f>IFERROR(VLOOKUP(H504,'Grade Scale'!$A:$B,2,FALSE),0)</f>
        <v/>
      </c>
      <c r="K504" s="2">
        <f>J504*G504</f>
        <v/>
      </c>
      <c r="L504" s="2">
        <f>IF(H504="F",0,G504)</f>
        <v/>
      </c>
    </row>
    <row r="505">
      <c r="A505" s="2" t="inlineStr">
        <is>
          <t>m240112</t>
        </is>
      </c>
      <c r="B505" s="2">
        <f>IFERROR(VLOOKUP(A505,Students!$A:$B,2,FALSE),"")</f>
        <v/>
      </c>
      <c r="C505" s="2" t="inlineStr">
        <is>
          <t>Fall 2025</t>
        </is>
      </c>
      <c r="D505" s="2" t="inlineStr">
        <is>
          <t>Semester 3</t>
        </is>
      </c>
      <c r="E505" s="2" t="inlineStr">
        <is>
          <t>MBA 640</t>
        </is>
      </c>
      <c r="F505" s="2">
        <f>IFERROR(VLOOKUP(E505,Courses!$A:$C,2,FALSE),"")</f>
        <v/>
      </c>
      <c r="G505" s="2">
        <f>IFERROR(VLOOKUP(E505,Courses!$A:$C,3,FALSE),0)</f>
        <v/>
      </c>
      <c r="H505" s="2" t="inlineStr">
        <is>
          <t>A</t>
        </is>
      </c>
      <c r="I505" s="2" t="n">
        <v>98</v>
      </c>
      <c r="J505" s="2">
        <f>IFERROR(VLOOKUP(H505,'Grade Scale'!$A:$B,2,FALSE),0)</f>
        <v/>
      </c>
      <c r="K505" s="2">
        <f>J505*G505</f>
        <v/>
      </c>
      <c r="L505" s="2">
        <f>IF(H505="F",0,G505)</f>
        <v/>
      </c>
    </row>
    <row r="506">
      <c r="A506" s="2" t="inlineStr">
        <is>
          <t>m240112</t>
        </is>
      </c>
      <c r="B506" s="2">
        <f>IFERROR(VLOOKUP(A506,Students!$A:$B,2,FALSE),"")</f>
        <v/>
      </c>
      <c r="C506" s="2" t="inlineStr">
        <is>
          <t>Fall 2025</t>
        </is>
      </c>
      <c r="D506" s="2" t="inlineStr">
        <is>
          <t>Semester 3</t>
        </is>
      </c>
      <c r="E506" s="2" t="inlineStr">
        <is>
          <t>MBA 690</t>
        </is>
      </c>
      <c r="F506" s="2">
        <f>IFERROR(VLOOKUP(E506,Courses!$A:$C,2,FALSE),"")</f>
        <v/>
      </c>
      <c r="G506" s="2">
        <f>IFERROR(VLOOKUP(E506,Courses!$A:$C,3,FALSE),0)</f>
        <v/>
      </c>
      <c r="H506" s="2" t="inlineStr">
        <is>
          <t>A-</t>
        </is>
      </c>
      <c r="I506" s="2" t="n">
        <v>90</v>
      </c>
      <c r="J506" s="2">
        <f>IFERROR(VLOOKUP(H506,'Grade Scale'!$A:$B,2,FALSE),0)</f>
        <v/>
      </c>
      <c r="K506" s="2">
        <f>J506*G506</f>
        <v/>
      </c>
      <c r="L506" s="2">
        <f>IF(H506="F",0,G506)</f>
        <v/>
      </c>
    </row>
    <row r="507">
      <c r="A507" s="2" t="inlineStr">
        <is>
          <t>m240112</t>
        </is>
      </c>
      <c r="B507" s="2">
        <f>IFERROR(VLOOKUP(A507,Students!$A:$B,2,FALSE),"")</f>
        <v/>
      </c>
      <c r="C507" s="2" t="inlineStr">
        <is>
          <t>Spring 2026</t>
        </is>
      </c>
      <c r="D507" s="2" t="inlineStr">
        <is>
          <t>Semester 4</t>
        </is>
      </c>
      <c r="E507" s="2" t="inlineStr">
        <is>
          <t>MBA 650</t>
        </is>
      </c>
      <c r="F507" s="2">
        <f>IFERROR(VLOOKUP(E507,Courses!$A:$C,2,FALSE),"")</f>
        <v/>
      </c>
      <c r="G507" s="2">
        <f>IFERROR(VLOOKUP(E507,Courses!$A:$C,3,FALSE),0)</f>
        <v/>
      </c>
      <c r="H507" s="2" t="inlineStr">
        <is>
          <t>A-</t>
        </is>
      </c>
      <c r="I507" s="2" t="n">
        <v>91</v>
      </c>
      <c r="J507" s="2">
        <f>IFERROR(VLOOKUP(H507,'Grade Scale'!$A:$B,2,FALSE),0)</f>
        <v/>
      </c>
      <c r="K507" s="2">
        <f>J507*G507</f>
        <v/>
      </c>
      <c r="L507" s="2">
        <f>IF(H507="F",0,G507)</f>
        <v/>
      </c>
    </row>
    <row r="508">
      <c r="A508" s="2" t="inlineStr">
        <is>
          <t>m240112</t>
        </is>
      </c>
      <c r="B508" s="2">
        <f>IFERROR(VLOOKUP(A508,Students!$A:$B,2,FALSE),"")</f>
        <v/>
      </c>
      <c r="C508" s="2" t="inlineStr">
        <is>
          <t>Spring 2026</t>
        </is>
      </c>
      <c r="D508" s="2" t="inlineStr">
        <is>
          <t>Semester 4</t>
        </is>
      </c>
      <c r="E508" s="2" t="inlineStr">
        <is>
          <t>MBA 660</t>
        </is>
      </c>
      <c r="F508" s="2">
        <f>IFERROR(VLOOKUP(E508,Courses!$A:$C,2,FALSE),"")</f>
        <v/>
      </c>
      <c r="G508" s="2">
        <f>IFERROR(VLOOKUP(E508,Courses!$A:$C,3,FALSE),0)</f>
        <v/>
      </c>
      <c r="H508" s="2" t="inlineStr">
        <is>
          <t>A-</t>
        </is>
      </c>
      <c r="I508" s="2" t="n">
        <v>92</v>
      </c>
      <c r="J508" s="2">
        <f>IFERROR(VLOOKUP(H508,'Grade Scale'!$A:$B,2,FALSE),0)</f>
        <v/>
      </c>
      <c r="K508" s="2">
        <f>J508*G508</f>
        <v/>
      </c>
      <c r="L508" s="2">
        <f>IF(H508="F",0,G508)</f>
        <v/>
      </c>
    </row>
    <row r="509">
      <c r="A509" s="2" t="inlineStr">
        <is>
          <t>m240112</t>
        </is>
      </c>
      <c r="B509" s="2">
        <f>IFERROR(VLOOKUP(A509,Students!$A:$B,2,FALSE),"")</f>
        <v/>
      </c>
      <c r="C509" s="2" t="inlineStr">
        <is>
          <t>Spring 2026</t>
        </is>
      </c>
      <c r="D509" s="2" t="inlineStr">
        <is>
          <t>Semester 4</t>
        </is>
      </c>
      <c r="E509" s="2" t="inlineStr">
        <is>
          <t>MBA 670</t>
        </is>
      </c>
      <c r="F509" s="2">
        <f>IFERROR(VLOOKUP(E509,Courses!$A:$C,2,FALSE),"")</f>
        <v/>
      </c>
      <c r="G509" s="2">
        <f>IFERROR(VLOOKUP(E509,Courses!$A:$C,3,FALSE),0)</f>
        <v/>
      </c>
      <c r="H509" s="2" t="inlineStr">
        <is>
          <t>A</t>
        </is>
      </c>
      <c r="I509" s="2" t="n">
        <v>96</v>
      </c>
      <c r="J509" s="2">
        <f>IFERROR(VLOOKUP(H509,'Grade Scale'!$A:$B,2,FALSE),0)</f>
        <v/>
      </c>
      <c r="K509" s="2">
        <f>J509*G509</f>
        <v/>
      </c>
      <c r="L509" s="2">
        <f>IF(H509="F",0,G509)</f>
        <v/>
      </c>
    </row>
    <row r="510">
      <c r="A510" s="2" t="inlineStr">
        <is>
          <t>m240112</t>
        </is>
      </c>
      <c r="B510" s="2">
        <f>IFERROR(VLOOKUP(A510,Students!$A:$B,2,FALSE),"")</f>
        <v/>
      </c>
      <c r="C510" s="2" t="inlineStr">
        <is>
          <t>Spring 2026</t>
        </is>
      </c>
      <c r="D510" s="2" t="inlineStr">
        <is>
          <t>Semester 4</t>
        </is>
      </c>
      <c r="E510" s="2" t="inlineStr">
        <is>
          <t>MBA 680</t>
        </is>
      </c>
      <c r="F510" s="2">
        <f>IFERROR(VLOOKUP(E510,Courses!$A:$C,2,FALSE),"")</f>
        <v/>
      </c>
      <c r="G510" s="2">
        <f>IFERROR(VLOOKUP(E510,Courses!$A:$C,3,FALSE),0)</f>
        <v/>
      </c>
      <c r="H510" s="2" t="inlineStr">
        <is>
          <t>B+</t>
        </is>
      </c>
      <c r="I510" s="2" t="n">
        <v>89</v>
      </c>
      <c r="J510" s="2">
        <f>IFERROR(VLOOKUP(H510,'Grade Scale'!$A:$B,2,FALSE),0)</f>
        <v/>
      </c>
      <c r="K510" s="2">
        <f>J510*G510</f>
        <v/>
      </c>
      <c r="L510" s="2">
        <f>IF(H510="F",0,G510)</f>
        <v/>
      </c>
    </row>
    <row r="511">
      <c r="A511" s="2" t="inlineStr">
        <is>
          <t>m240112</t>
        </is>
      </c>
      <c r="B511" s="2">
        <f>IFERROR(VLOOKUP(A511,Students!$A:$B,2,FALSE),"")</f>
        <v/>
      </c>
      <c r="C511" s="2" t="inlineStr">
        <is>
          <t>Spring 2026</t>
        </is>
      </c>
      <c r="D511" s="2" t="inlineStr">
        <is>
          <t>Semester 4</t>
        </is>
      </c>
      <c r="E511" s="2" t="inlineStr">
        <is>
          <t>MBA 699</t>
        </is>
      </c>
      <c r="F511" s="2">
        <f>IFERROR(VLOOKUP(E511,Courses!$A:$C,2,FALSE),"")</f>
        <v/>
      </c>
      <c r="G511" s="2">
        <f>IFERROR(VLOOKUP(E511,Courses!$A:$C,3,FALSE),0)</f>
        <v/>
      </c>
      <c r="H511" s="2" t="inlineStr">
        <is>
          <t>A</t>
        </is>
      </c>
      <c r="I511" s="2" t="n">
        <v>98</v>
      </c>
      <c r="J511" s="2">
        <f>IFERROR(VLOOKUP(H511,'Grade Scale'!$A:$B,2,FALSE),0)</f>
        <v/>
      </c>
      <c r="K511" s="2">
        <f>J511*G511</f>
        <v/>
      </c>
      <c r="L511" s="2">
        <f>IF(H511="F",0,G511)</f>
        <v/>
      </c>
    </row>
    <row r="512">
      <c r="A512" s="2" t="inlineStr">
        <is>
          <t>m250214</t>
        </is>
      </c>
      <c r="B512" s="2">
        <f>IFERROR(VLOOKUP(A512,Students!$A:$B,2,FALSE),"")</f>
        <v/>
      </c>
      <c r="C512" s="2" t="inlineStr">
        <is>
          <t>Spring 2025</t>
        </is>
      </c>
      <c r="D512" s="2" t="inlineStr">
        <is>
          <t>Semester 1</t>
        </is>
      </c>
      <c r="E512" s="2" t="inlineStr">
        <is>
          <t>CSE 101</t>
        </is>
      </c>
      <c r="F512" s="2">
        <f>IFERROR(VLOOKUP(E512,Courses!$A:$C,2,FALSE),"")</f>
        <v/>
      </c>
      <c r="G512" s="2">
        <f>IFERROR(VLOOKUP(E512,Courses!$A:$C,3,FALSE),0)</f>
        <v/>
      </c>
      <c r="H512" s="2" t="inlineStr">
        <is>
          <t>B-</t>
        </is>
      </c>
      <c r="I512" s="2" t="n">
        <v>81</v>
      </c>
      <c r="J512" s="2">
        <f>IFERROR(VLOOKUP(H512,'Grade Scale'!$A:$B,2,FALSE),0)</f>
        <v/>
      </c>
      <c r="K512" s="2">
        <f>J512*G512</f>
        <v/>
      </c>
      <c r="L512" s="2">
        <f>IF(H512="F",0,G512)</f>
        <v/>
      </c>
    </row>
    <row r="513">
      <c r="A513" s="2" t="inlineStr">
        <is>
          <t>m250214</t>
        </is>
      </c>
      <c r="B513" s="2">
        <f>IFERROR(VLOOKUP(A513,Students!$A:$B,2,FALSE),"")</f>
        <v/>
      </c>
      <c r="C513" s="2" t="inlineStr">
        <is>
          <t>Spring 2025</t>
        </is>
      </c>
      <c r="D513" s="2" t="inlineStr">
        <is>
          <t>Semester 1</t>
        </is>
      </c>
      <c r="E513" s="2" t="inlineStr">
        <is>
          <t>MTH 110</t>
        </is>
      </c>
      <c r="F513" s="2">
        <f>IFERROR(VLOOKUP(E513,Courses!$A:$C,2,FALSE),"")</f>
        <v/>
      </c>
      <c r="G513" s="2">
        <f>IFERROR(VLOOKUP(E513,Courses!$A:$C,3,FALSE),0)</f>
        <v/>
      </c>
      <c r="H513" s="2" t="inlineStr">
        <is>
          <t>C+</t>
        </is>
      </c>
      <c r="I513" s="2" t="n">
        <v>77</v>
      </c>
      <c r="J513" s="2">
        <f>IFERROR(VLOOKUP(H513,'Grade Scale'!$A:$B,2,FALSE),0)</f>
        <v/>
      </c>
      <c r="K513" s="2">
        <f>J513*G513</f>
        <v/>
      </c>
      <c r="L513" s="2">
        <f>IF(H513="F",0,G513)</f>
        <v/>
      </c>
    </row>
    <row r="514">
      <c r="A514" s="2" t="inlineStr">
        <is>
          <t>m250214</t>
        </is>
      </c>
      <c r="B514" s="2">
        <f>IFERROR(VLOOKUP(A514,Students!$A:$B,2,FALSE),"")</f>
        <v/>
      </c>
      <c r="C514" s="2" t="inlineStr">
        <is>
          <t>Spring 2025</t>
        </is>
      </c>
      <c r="D514" s="2" t="inlineStr">
        <is>
          <t>Semester 1</t>
        </is>
      </c>
      <c r="E514" s="2" t="inlineStr">
        <is>
          <t>CSE 120</t>
        </is>
      </c>
      <c r="F514" s="2">
        <f>IFERROR(VLOOKUP(E514,Courses!$A:$C,2,FALSE),"")</f>
        <v/>
      </c>
      <c r="G514" s="2">
        <f>IFERROR(VLOOKUP(E514,Courses!$A:$C,3,FALSE),0)</f>
        <v/>
      </c>
      <c r="H514" s="2" t="inlineStr">
        <is>
          <t>C-</t>
        </is>
      </c>
      <c r="I514" s="2" t="n">
        <v>72</v>
      </c>
      <c r="J514" s="2">
        <f>IFERROR(VLOOKUP(H514,'Grade Scale'!$A:$B,2,FALSE),0)</f>
        <v/>
      </c>
      <c r="K514" s="2">
        <f>J514*G514</f>
        <v/>
      </c>
      <c r="L514" s="2">
        <f>IF(H514="F",0,G514)</f>
        <v/>
      </c>
    </row>
    <row r="515">
      <c r="A515" s="2" t="inlineStr">
        <is>
          <t>m250214</t>
        </is>
      </c>
      <c r="B515" s="2">
        <f>IFERROR(VLOOKUP(A515,Students!$A:$B,2,FALSE),"")</f>
        <v/>
      </c>
      <c r="C515" s="2" t="inlineStr">
        <is>
          <t>Spring 2025</t>
        </is>
      </c>
      <c r="D515" s="2" t="inlineStr">
        <is>
          <t>Semester 1</t>
        </is>
      </c>
      <c r="E515" s="2" t="inlineStr">
        <is>
          <t>ENG 101</t>
        </is>
      </c>
      <c r="F515" s="2">
        <f>IFERROR(VLOOKUP(E515,Courses!$A:$C,2,FALSE),"")</f>
        <v/>
      </c>
      <c r="G515" s="2">
        <f>IFERROR(VLOOKUP(E515,Courses!$A:$C,3,FALSE),0)</f>
        <v/>
      </c>
      <c r="H515" s="2" t="inlineStr">
        <is>
          <t>C</t>
        </is>
      </c>
      <c r="I515" s="2" t="n">
        <v>73</v>
      </c>
      <c r="J515" s="2">
        <f>IFERROR(VLOOKUP(H515,'Grade Scale'!$A:$B,2,FALSE),0)</f>
        <v/>
      </c>
      <c r="K515" s="2">
        <f>J515*G515</f>
        <v/>
      </c>
      <c r="L515" s="2">
        <f>IF(H515="F",0,G515)</f>
        <v/>
      </c>
    </row>
    <row r="516">
      <c r="A516" s="2" t="inlineStr">
        <is>
          <t>m250214</t>
        </is>
      </c>
      <c r="B516" s="2">
        <f>IFERROR(VLOOKUP(A516,Students!$A:$B,2,FALSE),"")</f>
        <v/>
      </c>
      <c r="C516" s="2" t="inlineStr">
        <is>
          <t>Spring 2025</t>
        </is>
      </c>
      <c r="D516" s="2" t="inlineStr">
        <is>
          <t>Semester 1</t>
        </is>
      </c>
      <c r="E516" s="2" t="inlineStr">
        <is>
          <t>MTH 120</t>
        </is>
      </c>
      <c r="F516" s="2">
        <f>IFERROR(VLOOKUP(E516,Courses!$A:$C,2,FALSE),"")</f>
        <v/>
      </c>
      <c r="G516" s="2">
        <f>IFERROR(VLOOKUP(E516,Courses!$A:$C,3,FALSE),0)</f>
        <v/>
      </c>
      <c r="H516" s="2" t="inlineStr">
        <is>
          <t>C+</t>
        </is>
      </c>
      <c r="I516" s="2" t="n">
        <v>77</v>
      </c>
      <c r="J516" s="2">
        <f>IFERROR(VLOOKUP(H516,'Grade Scale'!$A:$B,2,FALSE),0)</f>
        <v/>
      </c>
      <c r="K516" s="2">
        <f>J516*G516</f>
        <v/>
      </c>
      <c r="L516" s="2">
        <f>IF(H516="F",0,G516)</f>
        <v/>
      </c>
    </row>
    <row r="517">
      <c r="A517" s="2" t="inlineStr">
        <is>
          <t>m250214</t>
        </is>
      </c>
      <c r="B517" s="2">
        <f>IFERROR(VLOOKUP(A517,Students!$A:$B,2,FALSE),"")</f>
        <v/>
      </c>
      <c r="C517" s="2" t="inlineStr">
        <is>
          <t>Fall 2025</t>
        </is>
      </c>
      <c r="D517" s="2" t="inlineStr">
        <is>
          <t>Semester 2</t>
        </is>
      </c>
      <c r="E517" s="2" t="inlineStr">
        <is>
          <t>CSE 150</t>
        </is>
      </c>
      <c r="F517" s="2">
        <f>IFERROR(VLOOKUP(E517,Courses!$A:$C,2,FALSE),"")</f>
        <v/>
      </c>
      <c r="G517" s="2">
        <f>IFERROR(VLOOKUP(E517,Courses!$A:$C,3,FALSE),0)</f>
        <v/>
      </c>
      <c r="H517" s="2" t="inlineStr">
        <is>
          <t>C</t>
        </is>
      </c>
      <c r="I517" s="2" t="n">
        <v>76</v>
      </c>
      <c r="J517" s="2">
        <f>IFERROR(VLOOKUP(H517,'Grade Scale'!$A:$B,2,FALSE),0)</f>
        <v/>
      </c>
      <c r="K517" s="2">
        <f>J517*G517</f>
        <v/>
      </c>
      <c r="L517" s="2">
        <f>IF(H517="F",0,G517)</f>
        <v/>
      </c>
    </row>
    <row r="518">
      <c r="A518" s="2" t="inlineStr">
        <is>
          <t>m250214</t>
        </is>
      </c>
      <c r="B518" s="2">
        <f>IFERROR(VLOOKUP(A518,Students!$A:$B,2,FALSE),"")</f>
        <v/>
      </c>
      <c r="C518" s="2" t="inlineStr">
        <is>
          <t>Fall 2025</t>
        </is>
      </c>
      <c r="D518" s="2" t="inlineStr">
        <is>
          <t>Semester 2</t>
        </is>
      </c>
      <c r="E518" s="2" t="inlineStr">
        <is>
          <t>CSE 160</t>
        </is>
      </c>
      <c r="F518" s="2">
        <f>IFERROR(VLOOKUP(E518,Courses!$A:$C,2,FALSE),"")</f>
        <v/>
      </c>
      <c r="G518" s="2">
        <f>IFERROR(VLOOKUP(E518,Courses!$A:$C,3,FALSE),0)</f>
        <v/>
      </c>
      <c r="H518" s="2" t="inlineStr">
        <is>
          <t>C</t>
        </is>
      </c>
      <c r="I518" s="2" t="n">
        <v>74</v>
      </c>
      <c r="J518" s="2">
        <f>IFERROR(VLOOKUP(H518,'Grade Scale'!$A:$B,2,FALSE),0)</f>
        <v/>
      </c>
      <c r="K518" s="2">
        <f>J518*G518</f>
        <v/>
      </c>
      <c r="L518" s="2">
        <f>IF(H518="F",0,G518)</f>
        <v/>
      </c>
    </row>
    <row r="519">
      <c r="A519" s="2" t="inlineStr">
        <is>
          <t>m250214</t>
        </is>
      </c>
      <c r="B519" s="2">
        <f>IFERROR(VLOOKUP(A519,Students!$A:$B,2,FALSE),"")</f>
        <v/>
      </c>
      <c r="C519" s="2" t="inlineStr">
        <is>
          <t>Fall 2025</t>
        </is>
      </c>
      <c r="D519" s="2" t="inlineStr">
        <is>
          <t>Semester 2</t>
        </is>
      </c>
      <c r="E519" s="2" t="inlineStr">
        <is>
          <t>CSE 170</t>
        </is>
      </c>
      <c r="F519" s="2">
        <f>IFERROR(VLOOKUP(E519,Courses!$A:$C,2,FALSE),"")</f>
        <v/>
      </c>
      <c r="G519" s="2">
        <f>IFERROR(VLOOKUP(E519,Courses!$A:$C,3,FALSE),0)</f>
        <v/>
      </c>
      <c r="H519" s="2" t="inlineStr">
        <is>
          <t>B-</t>
        </is>
      </c>
      <c r="I519" s="2" t="n">
        <v>80</v>
      </c>
      <c r="J519" s="2">
        <f>IFERROR(VLOOKUP(H519,'Grade Scale'!$A:$B,2,FALSE),0)</f>
        <v/>
      </c>
      <c r="K519" s="2">
        <f>J519*G519</f>
        <v/>
      </c>
      <c r="L519" s="2">
        <f>IF(H519="F",0,G519)</f>
        <v/>
      </c>
    </row>
    <row r="520">
      <c r="A520" s="2" t="inlineStr">
        <is>
          <t>m250214</t>
        </is>
      </c>
      <c r="B520" s="2">
        <f>IFERROR(VLOOKUP(A520,Students!$A:$B,2,FALSE),"")</f>
        <v/>
      </c>
      <c r="C520" s="2" t="inlineStr">
        <is>
          <t>Fall 2025</t>
        </is>
      </c>
      <c r="D520" s="2" t="inlineStr">
        <is>
          <t>Semester 2</t>
        </is>
      </c>
      <c r="E520" s="2" t="inlineStr">
        <is>
          <t>ENG 102</t>
        </is>
      </c>
      <c r="F520" s="2">
        <f>IFERROR(VLOOKUP(E520,Courses!$A:$C,2,FALSE),"")</f>
        <v/>
      </c>
      <c r="G520" s="2">
        <f>IFERROR(VLOOKUP(E520,Courses!$A:$C,3,FALSE),0)</f>
        <v/>
      </c>
      <c r="H520" s="2" t="inlineStr">
        <is>
          <t>C-</t>
        </is>
      </c>
      <c r="I520" s="2" t="n">
        <v>70</v>
      </c>
      <c r="J520" s="2">
        <f>IFERROR(VLOOKUP(H520,'Grade Scale'!$A:$B,2,FALSE),0)</f>
        <v/>
      </c>
      <c r="K520" s="2">
        <f>J520*G520</f>
        <v/>
      </c>
      <c r="L520" s="2">
        <f>IF(H520="F",0,G520)</f>
        <v/>
      </c>
    </row>
    <row r="521">
      <c r="A521" s="2" t="inlineStr">
        <is>
          <t>m250214</t>
        </is>
      </c>
      <c r="B521" s="2">
        <f>IFERROR(VLOOKUP(A521,Students!$A:$B,2,FALSE),"")</f>
        <v/>
      </c>
      <c r="C521" s="2" t="inlineStr">
        <is>
          <t>Fall 2025</t>
        </is>
      </c>
      <c r="D521" s="2" t="inlineStr">
        <is>
          <t>Semester 2</t>
        </is>
      </c>
      <c r="E521" s="2" t="inlineStr">
        <is>
          <t>MTH 130</t>
        </is>
      </c>
      <c r="F521" s="2">
        <f>IFERROR(VLOOKUP(E521,Courses!$A:$C,2,FALSE),"")</f>
        <v/>
      </c>
      <c r="G521" s="2">
        <f>IFERROR(VLOOKUP(E521,Courses!$A:$C,3,FALSE),0)</f>
        <v/>
      </c>
      <c r="H521" s="2" t="inlineStr">
        <is>
          <t>C-</t>
        </is>
      </c>
      <c r="I521" s="2" t="n">
        <v>71</v>
      </c>
      <c r="J521" s="2">
        <f>IFERROR(VLOOKUP(H521,'Grade Scale'!$A:$B,2,FALSE),0)</f>
        <v/>
      </c>
      <c r="K521" s="2">
        <f>J521*G521</f>
        <v/>
      </c>
      <c r="L521" s="2">
        <f>IF(H521="F",0,G521)</f>
        <v/>
      </c>
    </row>
    <row r="522">
      <c r="A522" s="2" t="inlineStr">
        <is>
          <t>m250214</t>
        </is>
      </c>
      <c r="B522" s="2">
        <f>IFERROR(VLOOKUP(A522,Students!$A:$B,2,FALSE),"")</f>
        <v/>
      </c>
      <c r="C522" s="2" t="inlineStr">
        <is>
          <t>Spring 2026</t>
        </is>
      </c>
      <c r="D522" s="2" t="inlineStr">
        <is>
          <t>Semester 3</t>
        </is>
      </c>
      <c r="E522" s="2" t="inlineStr">
        <is>
          <t>CSE 210</t>
        </is>
      </c>
      <c r="F522" s="2">
        <f>IFERROR(VLOOKUP(E522,Courses!$A:$C,2,FALSE),"")</f>
        <v/>
      </c>
      <c r="G522" s="2">
        <f>IFERROR(VLOOKUP(E522,Courses!$A:$C,3,FALSE),0)</f>
        <v/>
      </c>
      <c r="H522" s="2" t="inlineStr">
        <is>
          <t>C-</t>
        </is>
      </c>
      <c r="I522" s="2" t="n">
        <v>70</v>
      </c>
      <c r="J522" s="2">
        <f>IFERROR(VLOOKUP(H522,'Grade Scale'!$A:$B,2,FALSE),0)</f>
        <v/>
      </c>
      <c r="K522" s="2">
        <f>J522*G522</f>
        <v/>
      </c>
      <c r="L522" s="2">
        <f>IF(H522="F",0,G522)</f>
        <v/>
      </c>
    </row>
    <row r="523">
      <c r="A523" s="2" t="inlineStr">
        <is>
          <t>m250214</t>
        </is>
      </c>
      <c r="B523" s="2">
        <f>IFERROR(VLOOKUP(A523,Students!$A:$B,2,FALSE),"")</f>
        <v/>
      </c>
      <c r="C523" s="2" t="inlineStr">
        <is>
          <t>Spring 2026</t>
        </is>
      </c>
      <c r="D523" s="2" t="inlineStr">
        <is>
          <t>Semester 3</t>
        </is>
      </c>
      <c r="E523" s="2" t="inlineStr">
        <is>
          <t>CSE 220</t>
        </is>
      </c>
      <c r="F523" s="2">
        <f>IFERROR(VLOOKUP(E523,Courses!$A:$C,2,FALSE),"")</f>
        <v/>
      </c>
      <c r="G523" s="2">
        <f>IFERROR(VLOOKUP(E523,Courses!$A:$C,3,FALSE),0)</f>
        <v/>
      </c>
      <c r="H523" s="2" t="inlineStr">
        <is>
          <t>B-</t>
        </is>
      </c>
      <c r="I523" s="2" t="n">
        <v>80</v>
      </c>
      <c r="J523" s="2">
        <f>IFERROR(VLOOKUP(H523,'Grade Scale'!$A:$B,2,FALSE),0)</f>
        <v/>
      </c>
      <c r="K523" s="2">
        <f>J523*G523</f>
        <v/>
      </c>
      <c r="L523" s="2">
        <f>IF(H523="F",0,G523)</f>
        <v/>
      </c>
    </row>
    <row r="524">
      <c r="A524" s="2" t="inlineStr">
        <is>
          <t>m250214</t>
        </is>
      </c>
      <c r="B524" s="2">
        <f>IFERROR(VLOOKUP(A524,Students!$A:$B,2,FALSE),"")</f>
        <v/>
      </c>
      <c r="C524" s="2" t="inlineStr">
        <is>
          <t>Spring 2026</t>
        </is>
      </c>
      <c r="D524" s="2" t="inlineStr">
        <is>
          <t>Semester 3</t>
        </is>
      </c>
      <c r="E524" s="2" t="inlineStr">
        <is>
          <t>CSE 230</t>
        </is>
      </c>
      <c r="F524" s="2">
        <f>IFERROR(VLOOKUP(E524,Courses!$A:$C,2,FALSE),"")</f>
        <v/>
      </c>
      <c r="G524" s="2">
        <f>IFERROR(VLOOKUP(E524,Courses!$A:$C,3,FALSE),0)</f>
        <v/>
      </c>
      <c r="H524" s="2" t="inlineStr">
        <is>
          <t>C-</t>
        </is>
      </c>
      <c r="I524" s="2" t="n">
        <v>71</v>
      </c>
      <c r="J524" s="2">
        <f>IFERROR(VLOOKUP(H524,'Grade Scale'!$A:$B,2,FALSE),0)</f>
        <v/>
      </c>
      <c r="K524" s="2">
        <f>J524*G524</f>
        <v/>
      </c>
      <c r="L524" s="2">
        <f>IF(H524="F",0,G524)</f>
        <v/>
      </c>
    </row>
    <row r="525">
      <c r="A525" s="2" t="inlineStr">
        <is>
          <t>m250214</t>
        </is>
      </c>
      <c r="B525" s="2">
        <f>IFERROR(VLOOKUP(A525,Students!$A:$B,2,FALSE),"")</f>
        <v/>
      </c>
      <c r="C525" s="2" t="inlineStr">
        <is>
          <t>Spring 2026</t>
        </is>
      </c>
      <c r="D525" s="2" t="inlineStr">
        <is>
          <t>Semester 3</t>
        </is>
      </c>
      <c r="E525" s="2" t="inlineStr">
        <is>
          <t>CSE 240</t>
        </is>
      </c>
      <c r="F525" s="2">
        <f>IFERROR(VLOOKUP(E525,Courses!$A:$C,2,FALSE),"")</f>
        <v/>
      </c>
      <c r="G525" s="2">
        <f>IFERROR(VLOOKUP(E525,Courses!$A:$C,3,FALSE),0)</f>
        <v/>
      </c>
      <c r="H525" s="2" t="inlineStr">
        <is>
          <t>D</t>
        </is>
      </c>
      <c r="I525" s="2" t="n">
        <v>64</v>
      </c>
      <c r="J525" s="2">
        <f>IFERROR(VLOOKUP(H525,'Grade Scale'!$A:$B,2,FALSE),0)</f>
        <v/>
      </c>
      <c r="K525" s="2">
        <f>J525*G525</f>
        <v/>
      </c>
      <c r="L525" s="2">
        <f>IF(H525="F",0,G525)</f>
        <v/>
      </c>
    </row>
    <row r="526">
      <c r="A526" s="2" t="inlineStr">
        <is>
          <t>m250214</t>
        </is>
      </c>
      <c r="B526" s="2">
        <f>IFERROR(VLOOKUP(A526,Students!$A:$B,2,FALSE),"")</f>
        <v/>
      </c>
      <c r="C526" s="2" t="inlineStr">
        <is>
          <t>Spring 2026</t>
        </is>
      </c>
      <c r="D526" s="2" t="inlineStr">
        <is>
          <t>Semester 3</t>
        </is>
      </c>
      <c r="E526" s="2" t="inlineStr">
        <is>
          <t>STA 201</t>
        </is>
      </c>
      <c r="F526" s="2">
        <f>IFERROR(VLOOKUP(E526,Courses!$A:$C,2,FALSE),"")</f>
        <v/>
      </c>
      <c r="G526" s="2">
        <f>IFERROR(VLOOKUP(E526,Courses!$A:$C,3,FALSE),0)</f>
        <v/>
      </c>
      <c r="H526" s="2" t="inlineStr">
        <is>
          <t>C-</t>
        </is>
      </c>
      <c r="I526" s="2" t="n">
        <v>70</v>
      </c>
      <c r="J526" s="2">
        <f>IFERROR(VLOOKUP(H526,'Grade Scale'!$A:$B,2,FALSE),0)</f>
        <v/>
      </c>
      <c r="K526" s="2">
        <f>J526*G526</f>
        <v/>
      </c>
      <c r="L526" s="2">
        <f>IF(H526="F",0,G526)</f>
        <v/>
      </c>
    </row>
    <row r="527">
      <c r="A527" s="2" t="inlineStr">
        <is>
          <t>m250310</t>
        </is>
      </c>
      <c r="B527" s="2">
        <f>IFERROR(VLOOKUP(A527,Students!$A:$B,2,FALSE),"")</f>
        <v/>
      </c>
      <c r="C527" s="2" t="inlineStr">
        <is>
          <t>Fall 2025</t>
        </is>
      </c>
      <c r="D527" s="2" t="inlineStr">
        <is>
          <t>Semester 1</t>
        </is>
      </c>
      <c r="E527" s="2" t="inlineStr">
        <is>
          <t>DSC 501</t>
        </is>
      </c>
      <c r="F527" s="2">
        <f>IFERROR(VLOOKUP(E527,Courses!$A:$C,2,FALSE),"")</f>
        <v/>
      </c>
      <c r="G527" s="2">
        <f>IFERROR(VLOOKUP(E527,Courses!$A:$C,3,FALSE),0)</f>
        <v/>
      </c>
      <c r="H527" s="2" t="inlineStr">
        <is>
          <t>B+</t>
        </is>
      </c>
      <c r="I527" s="2" t="n">
        <v>87</v>
      </c>
      <c r="J527" s="2">
        <f>IFERROR(VLOOKUP(H527,'Grade Scale'!$A:$B,2,FALSE),0)</f>
        <v/>
      </c>
      <c r="K527" s="2">
        <f>J527*G527</f>
        <v/>
      </c>
      <c r="L527" s="2">
        <f>IF(H527="F",0,G527)</f>
        <v/>
      </c>
    </row>
    <row r="528">
      <c r="A528" s="2" t="inlineStr">
        <is>
          <t>m250310</t>
        </is>
      </c>
      <c r="B528" s="2">
        <f>IFERROR(VLOOKUP(A528,Students!$A:$B,2,FALSE),"")</f>
        <v/>
      </c>
      <c r="C528" s="2" t="inlineStr">
        <is>
          <t>Fall 2025</t>
        </is>
      </c>
      <c r="D528" s="2" t="inlineStr">
        <is>
          <t>Semester 1</t>
        </is>
      </c>
      <c r="E528" s="2" t="inlineStr">
        <is>
          <t>DSC 510</t>
        </is>
      </c>
      <c r="F528" s="2">
        <f>IFERROR(VLOOKUP(E528,Courses!$A:$C,2,FALSE),"")</f>
        <v/>
      </c>
      <c r="G528" s="2">
        <f>IFERROR(VLOOKUP(E528,Courses!$A:$C,3,FALSE),0)</f>
        <v/>
      </c>
      <c r="H528" s="2" t="inlineStr">
        <is>
          <t>B+</t>
        </is>
      </c>
      <c r="I528" s="2" t="n">
        <v>87</v>
      </c>
      <c r="J528" s="2">
        <f>IFERROR(VLOOKUP(H528,'Grade Scale'!$A:$B,2,FALSE),0)</f>
        <v/>
      </c>
      <c r="K528" s="2">
        <f>J528*G528</f>
        <v/>
      </c>
      <c r="L528" s="2">
        <f>IF(H528="F",0,G528)</f>
        <v/>
      </c>
    </row>
    <row r="529">
      <c r="A529" s="2" t="inlineStr">
        <is>
          <t>m250310</t>
        </is>
      </c>
      <c r="B529" s="2">
        <f>IFERROR(VLOOKUP(A529,Students!$A:$B,2,FALSE),"")</f>
        <v/>
      </c>
      <c r="C529" s="2" t="inlineStr">
        <is>
          <t>Fall 2025</t>
        </is>
      </c>
      <c r="D529" s="2" t="inlineStr">
        <is>
          <t>Semester 1</t>
        </is>
      </c>
      <c r="E529" s="2" t="inlineStr">
        <is>
          <t>DSC 520</t>
        </is>
      </c>
      <c r="F529" s="2">
        <f>IFERROR(VLOOKUP(E529,Courses!$A:$C,2,FALSE),"")</f>
        <v/>
      </c>
      <c r="G529" s="2">
        <f>IFERROR(VLOOKUP(E529,Courses!$A:$C,3,FALSE),0)</f>
        <v/>
      </c>
      <c r="H529" s="2" t="inlineStr">
        <is>
          <t>A</t>
        </is>
      </c>
      <c r="I529" s="2" t="n">
        <v>94</v>
      </c>
      <c r="J529" s="2">
        <f>IFERROR(VLOOKUP(H529,'Grade Scale'!$A:$B,2,FALSE),0)</f>
        <v/>
      </c>
      <c r="K529" s="2">
        <f>J529*G529</f>
        <v/>
      </c>
      <c r="L529" s="2">
        <f>IF(H529="F",0,G529)</f>
        <v/>
      </c>
    </row>
    <row r="530">
      <c r="A530" s="2" t="inlineStr">
        <is>
          <t>m250310</t>
        </is>
      </c>
      <c r="B530" s="2">
        <f>IFERROR(VLOOKUP(A530,Students!$A:$B,2,FALSE),"")</f>
        <v/>
      </c>
      <c r="C530" s="2" t="inlineStr">
        <is>
          <t>Fall 2025</t>
        </is>
      </c>
      <c r="D530" s="2" t="inlineStr">
        <is>
          <t>Semester 1</t>
        </is>
      </c>
      <c r="E530" s="2" t="inlineStr">
        <is>
          <t>DSC 530</t>
        </is>
      </c>
      <c r="F530" s="2">
        <f>IFERROR(VLOOKUP(E530,Courses!$A:$C,2,FALSE),"")</f>
        <v/>
      </c>
      <c r="G530" s="2">
        <f>IFERROR(VLOOKUP(E530,Courses!$A:$C,3,FALSE),0)</f>
        <v/>
      </c>
      <c r="H530" s="2" t="inlineStr">
        <is>
          <t>A-</t>
        </is>
      </c>
      <c r="I530" s="2" t="n">
        <v>92</v>
      </c>
      <c r="J530" s="2">
        <f>IFERROR(VLOOKUP(H530,'Grade Scale'!$A:$B,2,FALSE),0)</f>
        <v/>
      </c>
      <c r="K530" s="2">
        <f>J530*G530</f>
        <v/>
      </c>
      <c r="L530" s="2">
        <f>IF(H530="F",0,G530)</f>
        <v/>
      </c>
    </row>
    <row r="531">
      <c r="A531" s="2" t="inlineStr">
        <is>
          <t>m250310</t>
        </is>
      </c>
      <c r="B531" s="2">
        <f>IFERROR(VLOOKUP(A531,Students!$A:$B,2,FALSE),"")</f>
        <v/>
      </c>
      <c r="C531" s="2" t="inlineStr">
        <is>
          <t>Fall 2025</t>
        </is>
      </c>
      <c r="D531" s="2" t="inlineStr">
        <is>
          <t>Semester 1</t>
        </is>
      </c>
      <c r="E531" s="2" t="inlineStr">
        <is>
          <t>DSC 540</t>
        </is>
      </c>
      <c r="F531" s="2">
        <f>IFERROR(VLOOKUP(E531,Courses!$A:$C,2,FALSE),"")</f>
        <v/>
      </c>
      <c r="G531" s="2">
        <f>IFERROR(VLOOKUP(E531,Courses!$A:$C,3,FALSE),0)</f>
        <v/>
      </c>
      <c r="H531" s="2" t="inlineStr">
        <is>
          <t>A</t>
        </is>
      </c>
      <c r="I531" s="2" t="n">
        <v>97</v>
      </c>
      <c r="J531" s="2">
        <f>IFERROR(VLOOKUP(H531,'Grade Scale'!$A:$B,2,FALSE),0)</f>
        <v/>
      </c>
      <c r="K531" s="2">
        <f>J531*G531</f>
        <v/>
      </c>
      <c r="L531" s="2">
        <f>IF(H531="F",0,G531)</f>
        <v/>
      </c>
    </row>
    <row r="532">
      <c r="A532" s="2" t="inlineStr">
        <is>
          <t>m250310</t>
        </is>
      </c>
      <c r="B532" s="2">
        <f>IFERROR(VLOOKUP(A532,Students!$A:$B,2,FALSE),"")</f>
        <v/>
      </c>
      <c r="C532" s="2" t="inlineStr">
        <is>
          <t>Spring 2026</t>
        </is>
      </c>
      <c r="D532" s="2" t="inlineStr">
        <is>
          <t>Semester 2</t>
        </is>
      </c>
      <c r="E532" s="2" t="inlineStr">
        <is>
          <t>DSC 550</t>
        </is>
      </c>
      <c r="F532" s="2">
        <f>IFERROR(VLOOKUP(E532,Courses!$A:$C,2,FALSE),"")</f>
        <v/>
      </c>
      <c r="G532" s="2">
        <f>IFERROR(VLOOKUP(E532,Courses!$A:$C,3,FALSE),0)</f>
        <v/>
      </c>
      <c r="H532" s="2" t="inlineStr">
        <is>
          <t>A</t>
        </is>
      </c>
      <c r="I532" s="2" t="n">
        <v>100</v>
      </c>
      <c r="J532" s="2">
        <f>IFERROR(VLOOKUP(H532,'Grade Scale'!$A:$B,2,FALSE),0)</f>
        <v/>
      </c>
      <c r="K532" s="2">
        <f>J532*G532</f>
        <v/>
      </c>
      <c r="L532" s="2">
        <f>IF(H532="F",0,G532)</f>
        <v/>
      </c>
    </row>
    <row r="533">
      <c r="A533" s="2" t="inlineStr">
        <is>
          <t>m250310</t>
        </is>
      </c>
      <c r="B533" s="2">
        <f>IFERROR(VLOOKUP(A533,Students!$A:$B,2,FALSE),"")</f>
        <v/>
      </c>
      <c r="C533" s="2" t="inlineStr">
        <is>
          <t>Spring 2026</t>
        </is>
      </c>
      <c r="D533" s="2" t="inlineStr">
        <is>
          <t>Semester 2</t>
        </is>
      </c>
      <c r="E533" s="2" t="inlineStr">
        <is>
          <t>DSC 560</t>
        </is>
      </c>
      <c r="F533" s="2">
        <f>IFERROR(VLOOKUP(E533,Courses!$A:$C,2,FALSE),"")</f>
        <v/>
      </c>
      <c r="G533" s="2">
        <f>IFERROR(VLOOKUP(E533,Courses!$A:$C,3,FALSE),0)</f>
        <v/>
      </c>
      <c r="H533" s="2" t="inlineStr">
        <is>
          <t>B+</t>
        </is>
      </c>
      <c r="I533" s="2" t="n">
        <v>87</v>
      </c>
      <c r="J533" s="2">
        <f>IFERROR(VLOOKUP(H533,'Grade Scale'!$A:$B,2,FALSE),0)</f>
        <v/>
      </c>
      <c r="K533" s="2">
        <f>J533*G533</f>
        <v/>
      </c>
      <c r="L533" s="2">
        <f>IF(H533="F",0,G533)</f>
        <v/>
      </c>
    </row>
    <row r="534">
      <c r="A534" s="2" t="inlineStr">
        <is>
          <t>m250310</t>
        </is>
      </c>
      <c r="B534" s="2">
        <f>IFERROR(VLOOKUP(A534,Students!$A:$B,2,FALSE),"")</f>
        <v/>
      </c>
      <c r="C534" s="2" t="inlineStr">
        <is>
          <t>Spring 2026</t>
        </is>
      </c>
      <c r="D534" s="2" t="inlineStr">
        <is>
          <t>Semester 2</t>
        </is>
      </c>
      <c r="E534" s="2" t="inlineStr">
        <is>
          <t>DSC 570</t>
        </is>
      </c>
      <c r="F534" s="2">
        <f>IFERROR(VLOOKUP(E534,Courses!$A:$C,2,FALSE),"")</f>
        <v/>
      </c>
      <c r="G534" s="2">
        <f>IFERROR(VLOOKUP(E534,Courses!$A:$C,3,FALSE),0)</f>
        <v/>
      </c>
      <c r="H534" s="2" t="inlineStr">
        <is>
          <t>A</t>
        </is>
      </c>
      <c r="I534" s="2" t="n">
        <v>95</v>
      </c>
      <c r="J534" s="2">
        <f>IFERROR(VLOOKUP(H534,'Grade Scale'!$A:$B,2,FALSE),0)</f>
        <v/>
      </c>
      <c r="K534" s="2">
        <f>J534*G534</f>
        <v/>
      </c>
      <c r="L534" s="2">
        <f>IF(H534="F",0,G534)</f>
        <v/>
      </c>
    </row>
    <row r="535">
      <c r="A535" s="2" t="inlineStr">
        <is>
          <t>m250310</t>
        </is>
      </c>
      <c r="B535" s="2">
        <f>IFERROR(VLOOKUP(A535,Students!$A:$B,2,FALSE),"")</f>
        <v/>
      </c>
      <c r="C535" s="2" t="inlineStr">
        <is>
          <t>Spring 2026</t>
        </is>
      </c>
      <c r="D535" s="2" t="inlineStr">
        <is>
          <t>Semester 2</t>
        </is>
      </c>
      <c r="E535" s="2" t="inlineStr">
        <is>
          <t>DSC 580</t>
        </is>
      </c>
      <c r="F535" s="2">
        <f>IFERROR(VLOOKUP(E535,Courses!$A:$C,2,FALSE),"")</f>
        <v/>
      </c>
      <c r="G535" s="2">
        <f>IFERROR(VLOOKUP(E535,Courses!$A:$C,3,FALSE),0)</f>
        <v/>
      </c>
      <c r="H535" s="2" t="inlineStr">
        <is>
          <t>B</t>
        </is>
      </c>
      <c r="I535" s="2" t="n">
        <v>83</v>
      </c>
      <c r="J535" s="2">
        <f>IFERROR(VLOOKUP(H535,'Grade Scale'!$A:$B,2,FALSE),0)</f>
        <v/>
      </c>
      <c r="K535" s="2">
        <f>J535*G535</f>
        <v/>
      </c>
      <c r="L535" s="2">
        <f>IF(H535="F",0,G535)</f>
        <v/>
      </c>
    </row>
    <row r="536">
      <c r="A536" s="2" t="inlineStr">
        <is>
          <t>m250310</t>
        </is>
      </c>
      <c r="B536" s="2">
        <f>IFERROR(VLOOKUP(A536,Students!$A:$B,2,FALSE),"")</f>
        <v/>
      </c>
      <c r="C536" s="2" t="inlineStr">
        <is>
          <t>Spring 2026</t>
        </is>
      </c>
      <c r="D536" s="2" t="inlineStr">
        <is>
          <t>Semester 2</t>
        </is>
      </c>
      <c r="E536" s="2" t="inlineStr">
        <is>
          <t>DSC 590</t>
        </is>
      </c>
      <c r="F536" s="2">
        <f>IFERROR(VLOOKUP(E536,Courses!$A:$C,2,FALSE),"")</f>
        <v/>
      </c>
      <c r="G536" s="2">
        <f>IFERROR(VLOOKUP(E536,Courses!$A:$C,3,FALSE),0)</f>
        <v/>
      </c>
      <c r="H536" s="2" t="inlineStr">
        <is>
          <t>B</t>
        </is>
      </c>
      <c r="I536" s="2" t="n">
        <v>85</v>
      </c>
      <c r="J536" s="2">
        <f>IFERROR(VLOOKUP(H536,'Grade Scale'!$A:$B,2,FALSE),0)</f>
        <v/>
      </c>
      <c r="K536" s="2">
        <f>J536*G536</f>
        <v/>
      </c>
      <c r="L536" s="2">
        <f>IF(H536="F",0,G536)</f>
        <v/>
      </c>
    </row>
    <row r="537">
      <c r="A537" s="2" t="inlineStr">
        <is>
          <t>m240113</t>
        </is>
      </c>
      <c r="B537" s="2">
        <f>IFERROR(VLOOKUP(A537,Students!$A:$B,2,FALSE),"")</f>
        <v/>
      </c>
      <c r="C537" s="2" t="inlineStr">
        <is>
          <t>Fall 2024</t>
        </is>
      </c>
      <c r="D537" s="2" t="inlineStr">
        <is>
          <t>Semester 1</t>
        </is>
      </c>
      <c r="E537" s="2" t="inlineStr">
        <is>
          <t>ECO 101</t>
        </is>
      </c>
      <c r="F537" s="2">
        <f>IFERROR(VLOOKUP(E537,Courses!$A:$C,2,FALSE),"")</f>
        <v/>
      </c>
      <c r="G537" s="2">
        <f>IFERROR(VLOOKUP(E537,Courses!$A:$C,3,FALSE),0)</f>
        <v/>
      </c>
      <c r="H537" s="2" t="inlineStr">
        <is>
          <t>B</t>
        </is>
      </c>
      <c r="I537" s="2" t="n">
        <v>83</v>
      </c>
      <c r="J537" s="2">
        <f>IFERROR(VLOOKUP(H537,'Grade Scale'!$A:$B,2,FALSE),0)</f>
        <v/>
      </c>
      <c r="K537" s="2">
        <f>J537*G537</f>
        <v/>
      </c>
      <c r="L537" s="2">
        <f>IF(H537="F",0,G537)</f>
        <v/>
      </c>
    </row>
    <row r="538">
      <c r="A538" s="2" t="inlineStr">
        <is>
          <t>m240113</t>
        </is>
      </c>
      <c r="B538" s="2">
        <f>IFERROR(VLOOKUP(A538,Students!$A:$B,2,FALSE),"")</f>
        <v/>
      </c>
      <c r="C538" s="2" t="inlineStr">
        <is>
          <t>Fall 2024</t>
        </is>
      </c>
      <c r="D538" s="2" t="inlineStr">
        <is>
          <t>Semester 1</t>
        </is>
      </c>
      <c r="E538" s="2" t="inlineStr">
        <is>
          <t>ACC 101</t>
        </is>
      </c>
      <c r="F538" s="2">
        <f>IFERROR(VLOOKUP(E538,Courses!$A:$C,2,FALSE),"")</f>
        <v/>
      </c>
      <c r="G538" s="2">
        <f>IFERROR(VLOOKUP(E538,Courses!$A:$C,3,FALSE),0)</f>
        <v/>
      </c>
      <c r="H538" s="2" t="inlineStr">
        <is>
          <t>C</t>
        </is>
      </c>
      <c r="I538" s="2" t="n">
        <v>74</v>
      </c>
      <c r="J538" s="2">
        <f>IFERROR(VLOOKUP(H538,'Grade Scale'!$A:$B,2,FALSE),0)</f>
        <v/>
      </c>
      <c r="K538" s="2">
        <f>J538*G538</f>
        <v/>
      </c>
      <c r="L538" s="2">
        <f>IF(H538="F",0,G538)</f>
        <v/>
      </c>
    </row>
    <row r="539">
      <c r="A539" s="2" t="inlineStr">
        <is>
          <t>m240113</t>
        </is>
      </c>
      <c r="B539" s="2">
        <f>IFERROR(VLOOKUP(A539,Students!$A:$B,2,FALSE),"")</f>
        <v/>
      </c>
      <c r="C539" s="2" t="inlineStr">
        <is>
          <t>Fall 2024</t>
        </is>
      </c>
      <c r="D539" s="2" t="inlineStr">
        <is>
          <t>Semester 1</t>
        </is>
      </c>
      <c r="E539" s="2" t="inlineStr">
        <is>
          <t>MTH 105</t>
        </is>
      </c>
      <c r="F539" s="2">
        <f>IFERROR(VLOOKUP(E539,Courses!$A:$C,2,FALSE),"")</f>
        <v/>
      </c>
      <c r="G539" s="2">
        <f>IFERROR(VLOOKUP(E539,Courses!$A:$C,3,FALSE),0)</f>
        <v/>
      </c>
      <c r="H539" s="2" t="inlineStr">
        <is>
          <t>C</t>
        </is>
      </c>
      <c r="I539" s="2" t="n">
        <v>75</v>
      </c>
      <c r="J539" s="2">
        <f>IFERROR(VLOOKUP(H539,'Grade Scale'!$A:$B,2,FALSE),0)</f>
        <v/>
      </c>
      <c r="K539" s="2">
        <f>J539*G539</f>
        <v/>
      </c>
      <c r="L539" s="2">
        <f>IF(H539="F",0,G539)</f>
        <v/>
      </c>
    </row>
    <row r="540">
      <c r="A540" s="2" t="inlineStr">
        <is>
          <t>m240113</t>
        </is>
      </c>
      <c r="B540" s="2">
        <f>IFERROR(VLOOKUP(A540,Students!$A:$B,2,FALSE),"")</f>
        <v/>
      </c>
      <c r="C540" s="2" t="inlineStr">
        <is>
          <t>Fall 2024</t>
        </is>
      </c>
      <c r="D540" s="2" t="inlineStr">
        <is>
          <t>Semester 1</t>
        </is>
      </c>
      <c r="E540" s="2" t="inlineStr">
        <is>
          <t>ENG 101</t>
        </is>
      </c>
      <c r="F540" s="2">
        <f>IFERROR(VLOOKUP(E540,Courses!$A:$C,2,FALSE),"")</f>
        <v/>
      </c>
      <c r="G540" s="2">
        <f>IFERROR(VLOOKUP(E540,Courses!$A:$C,3,FALSE),0)</f>
        <v/>
      </c>
      <c r="H540" s="2" t="inlineStr">
        <is>
          <t>B+</t>
        </is>
      </c>
      <c r="I540" s="2" t="n">
        <v>87</v>
      </c>
      <c r="J540" s="2">
        <f>IFERROR(VLOOKUP(H540,'Grade Scale'!$A:$B,2,FALSE),0)</f>
        <v/>
      </c>
      <c r="K540" s="2">
        <f>J540*G540</f>
        <v/>
      </c>
      <c r="L540" s="2">
        <f>IF(H540="F",0,G540)</f>
        <v/>
      </c>
    </row>
    <row r="541">
      <c r="A541" s="2" t="inlineStr">
        <is>
          <t>m240113</t>
        </is>
      </c>
      <c r="B541" s="2">
        <f>IFERROR(VLOOKUP(A541,Students!$A:$B,2,FALSE),"")</f>
        <v/>
      </c>
      <c r="C541" s="2" t="inlineStr">
        <is>
          <t>Fall 2024</t>
        </is>
      </c>
      <c r="D541" s="2" t="inlineStr">
        <is>
          <t>Semester 1</t>
        </is>
      </c>
      <c r="E541" s="2" t="inlineStr">
        <is>
          <t>FIN 100</t>
        </is>
      </c>
      <c r="F541" s="2">
        <f>IFERROR(VLOOKUP(E541,Courses!$A:$C,2,FALSE),"")</f>
        <v/>
      </c>
      <c r="G541" s="2">
        <f>IFERROR(VLOOKUP(E541,Courses!$A:$C,3,FALSE),0)</f>
        <v/>
      </c>
      <c r="H541" s="2" t="inlineStr">
        <is>
          <t>C-</t>
        </is>
      </c>
      <c r="I541" s="2" t="n">
        <v>70</v>
      </c>
      <c r="J541" s="2">
        <f>IFERROR(VLOOKUP(H541,'Grade Scale'!$A:$B,2,FALSE),0)</f>
        <v/>
      </c>
      <c r="K541" s="2">
        <f>J541*G541</f>
        <v/>
      </c>
      <c r="L541" s="2">
        <f>IF(H541="F",0,G541)</f>
        <v/>
      </c>
    </row>
    <row r="542">
      <c r="A542" s="2" t="inlineStr">
        <is>
          <t>m240113</t>
        </is>
      </c>
      <c r="B542" s="2">
        <f>IFERROR(VLOOKUP(A542,Students!$A:$B,2,FALSE),"")</f>
        <v/>
      </c>
      <c r="C542" s="2" t="inlineStr">
        <is>
          <t>Spring 2025</t>
        </is>
      </c>
      <c r="D542" s="2" t="inlineStr">
        <is>
          <t>Semester 2</t>
        </is>
      </c>
      <c r="E542" s="2" t="inlineStr">
        <is>
          <t>ECO 102</t>
        </is>
      </c>
      <c r="F542" s="2">
        <f>IFERROR(VLOOKUP(E542,Courses!$A:$C,2,FALSE),"")</f>
        <v/>
      </c>
      <c r="G542" s="2">
        <f>IFERROR(VLOOKUP(E542,Courses!$A:$C,3,FALSE),0)</f>
        <v/>
      </c>
      <c r="H542" s="2" t="inlineStr">
        <is>
          <t>B</t>
        </is>
      </c>
      <c r="I542" s="2" t="n">
        <v>85</v>
      </c>
      <c r="J542" s="2">
        <f>IFERROR(VLOOKUP(H542,'Grade Scale'!$A:$B,2,FALSE),0)</f>
        <v/>
      </c>
      <c r="K542" s="2">
        <f>J542*G542</f>
        <v/>
      </c>
      <c r="L542" s="2">
        <f>IF(H542="F",0,G542)</f>
        <v/>
      </c>
    </row>
    <row r="543">
      <c r="A543" s="2" t="inlineStr">
        <is>
          <t>m240113</t>
        </is>
      </c>
      <c r="B543" s="2">
        <f>IFERROR(VLOOKUP(A543,Students!$A:$B,2,FALSE),"")</f>
        <v/>
      </c>
      <c r="C543" s="2" t="inlineStr">
        <is>
          <t>Spring 2025</t>
        </is>
      </c>
      <c r="D543" s="2" t="inlineStr">
        <is>
          <t>Semester 2</t>
        </is>
      </c>
      <c r="E543" s="2" t="inlineStr">
        <is>
          <t>ACC 102</t>
        </is>
      </c>
      <c r="F543" s="2">
        <f>IFERROR(VLOOKUP(E543,Courses!$A:$C,2,FALSE),"")</f>
        <v/>
      </c>
      <c r="G543" s="2">
        <f>IFERROR(VLOOKUP(E543,Courses!$A:$C,3,FALSE),0)</f>
        <v/>
      </c>
      <c r="H543" s="2" t="inlineStr">
        <is>
          <t>B-</t>
        </is>
      </c>
      <c r="I543" s="2" t="n">
        <v>80</v>
      </c>
      <c r="J543" s="2">
        <f>IFERROR(VLOOKUP(H543,'Grade Scale'!$A:$B,2,FALSE),0)</f>
        <v/>
      </c>
      <c r="K543" s="2">
        <f>J543*G543</f>
        <v/>
      </c>
      <c r="L543" s="2">
        <f>IF(H543="F",0,G543)</f>
        <v/>
      </c>
    </row>
    <row r="544">
      <c r="A544" s="2" t="inlineStr">
        <is>
          <t>m240113</t>
        </is>
      </c>
      <c r="B544" s="2">
        <f>IFERROR(VLOOKUP(A544,Students!$A:$B,2,FALSE),"")</f>
        <v/>
      </c>
      <c r="C544" s="2" t="inlineStr">
        <is>
          <t>Spring 2025</t>
        </is>
      </c>
      <c r="D544" s="2" t="inlineStr">
        <is>
          <t>Semester 2</t>
        </is>
      </c>
      <c r="E544" s="2" t="inlineStr">
        <is>
          <t>STA 110</t>
        </is>
      </c>
      <c r="F544" s="2">
        <f>IFERROR(VLOOKUP(E544,Courses!$A:$C,2,FALSE),"")</f>
        <v/>
      </c>
      <c r="G544" s="2">
        <f>IFERROR(VLOOKUP(E544,Courses!$A:$C,3,FALSE),0)</f>
        <v/>
      </c>
      <c r="H544" s="2" t="inlineStr">
        <is>
          <t>B+</t>
        </is>
      </c>
      <c r="I544" s="2" t="n">
        <v>89</v>
      </c>
      <c r="J544" s="2">
        <f>IFERROR(VLOOKUP(H544,'Grade Scale'!$A:$B,2,FALSE),0)</f>
        <v/>
      </c>
      <c r="K544" s="2">
        <f>J544*G544</f>
        <v/>
      </c>
      <c r="L544" s="2">
        <f>IF(H544="F",0,G544)</f>
        <v/>
      </c>
    </row>
    <row r="545">
      <c r="A545" s="2" t="inlineStr">
        <is>
          <t>m240113</t>
        </is>
      </c>
      <c r="B545" s="2">
        <f>IFERROR(VLOOKUP(A545,Students!$A:$B,2,FALSE),"")</f>
        <v/>
      </c>
      <c r="C545" s="2" t="inlineStr">
        <is>
          <t>Spring 2025</t>
        </is>
      </c>
      <c r="D545" s="2" t="inlineStr">
        <is>
          <t>Semester 2</t>
        </is>
      </c>
      <c r="E545" s="2" t="inlineStr">
        <is>
          <t>ENG 102</t>
        </is>
      </c>
      <c r="F545" s="2">
        <f>IFERROR(VLOOKUP(E545,Courses!$A:$C,2,FALSE),"")</f>
        <v/>
      </c>
      <c r="G545" s="2">
        <f>IFERROR(VLOOKUP(E545,Courses!$A:$C,3,FALSE),0)</f>
        <v/>
      </c>
      <c r="H545" s="2" t="inlineStr">
        <is>
          <t>C+</t>
        </is>
      </c>
      <c r="I545" s="2" t="n">
        <v>79</v>
      </c>
      <c r="J545" s="2">
        <f>IFERROR(VLOOKUP(H545,'Grade Scale'!$A:$B,2,FALSE),0)</f>
        <v/>
      </c>
      <c r="K545" s="2">
        <f>J545*G545</f>
        <v/>
      </c>
      <c r="L545" s="2">
        <f>IF(H545="F",0,G545)</f>
        <v/>
      </c>
    </row>
    <row r="546">
      <c r="A546" s="2" t="inlineStr">
        <is>
          <t>m240113</t>
        </is>
      </c>
      <c r="B546" s="2">
        <f>IFERROR(VLOOKUP(A546,Students!$A:$B,2,FALSE),"")</f>
        <v/>
      </c>
      <c r="C546" s="2" t="inlineStr">
        <is>
          <t>Spring 2025</t>
        </is>
      </c>
      <c r="D546" s="2" t="inlineStr">
        <is>
          <t>Semester 2</t>
        </is>
      </c>
      <c r="E546" s="2" t="inlineStr">
        <is>
          <t>FIN 150</t>
        </is>
      </c>
      <c r="F546" s="2">
        <f>IFERROR(VLOOKUP(E546,Courses!$A:$C,2,FALSE),"")</f>
        <v/>
      </c>
      <c r="G546" s="2">
        <f>IFERROR(VLOOKUP(E546,Courses!$A:$C,3,FALSE),0)</f>
        <v/>
      </c>
      <c r="H546" s="2" t="inlineStr">
        <is>
          <t>C+</t>
        </is>
      </c>
      <c r="I546" s="2" t="n">
        <v>78</v>
      </c>
      <c r="J546" s="2">
        <f>IFERROR(VLOOKUP(H546,'Grade Scale'!$A:$B,2,FALSE),0)</f>
        <v/>
      </c>
      <c r="K546" s="2">
        <f>J546*G546</f>
        <v/>
      </c>
      <c r="L546" s="2">
        <f>IF(H546="F",0,G546)</f>
        <v/>
      </c>
    </row>
    <row r="547">
      <c r="A547" s="2" t="inlineStr">
        <is>
          <t>m240113</t>
        </is>
      </c>
      <c r="B547" s="2">
        <f>IFERROR(VLOOKUP(A547,Students!$A:$B,2,FALSE),"")</f>
        <v/>
      </c>
      <c r="C547" s="2" t="inlineStr">
        <is>
          <t>Fall 2025</t>
        </is>
      </c>
      <c r="D547" s="2" t="inlineStr">
        <is>
          <t>Semester 3</t>
        </is>
      </c>
      <c r="E547" s="2" t="inlineStr">
        <is>
          <t>FIN 210</t>
        </is>
      </c>
      <c r="F547" s="2">
        <f>IFERROR(VLOOKUP(E547,Courses!$A:$C,2,FALSE),"")</f>
        <v/>
      </c>
      <c r="G547" s="2">
        <f>IFERROR(VLOOKUP(E547,Courses!$A:$C,3,FALSE),0)</f>
        <v/>
      </c>
      <c r="H547" s="2" t="inlineStr">
        <is>
          <t>B+</t>
        </is>
      </c>
      <c r="I547" s="2" t="n">
        <v>88</v>
      </c>
      <c r="J547" s="2">
        <f>IFERROR(VLOOKUP(H547,'Grade Scale'!$A:$B,2,FALSE),0)</f>
        <v/>
      </c>
      <c r="K547" s="2">
        <f>J547*G547</f>
        <v/>
      </c>
      <c r="L547" s="2">
        <f>IF(H547="F",0,G547)</f>
        <v/>
      </c>
    </row>
    <row r="548">
      <c r="A548" s="2" t="inlineStr">
        <is>
          <t>m240113</t>
        </is>
      </c>
      <c r="B548" s="2">
        <f>IFERROR(VLOOKUP(A548,Students!$A:$B,2,FALSE),"")</f>
        <v/>
      </c>
      <c r="C548" s="2" t="inlineStr">
        <is>
          <t>Fall 2025</t>
        </is>
      </c>
      <c r="D548" s="2" t="inlineStr">
        <is>
          <t>Semester 3</t>
        </is>
      </c>
      <c r="E548" s="2" t="inlineStr">
        <is>
          <t>FIN 220</t>
        </is>
      </c>
      <c r="F548" s="2">
        <f>IFERROR(VLOOKUP(E548,Courses!$A:$C,2,FALSE),"")</f>
        <v/>
      </c>
      <c r="G548" s="2">
        <f>IFERROR(VLOOKUP(E548,Courses!$A:$C,3,FALSE),0)</f>
        <v/>
      </c>
      <c r="H548" s="2" t="inlineStr">
        <is>
          <t>B-</t>
        </is>
      </c>
      <c r="I548" s="2" t="n">
        <v>80</v>
      </c>
      <c r="J548" s="2">
        <f>IFERROR(VLOOKUP(H548,'Grade Scale'!$A:$B,2,FALSE),0)</f>
        <v/>
      </c>
      <c r="K548" s="2">
        <f>J548*G548</f>
        <v/>
      </c>
      <c r="L548" s="2">
        <f>IF(H548="F",0,G548)</f>
        <v/>
      </c>
    </row>
    <row r="549">
      <c r="A549" s="2" t="inlineStr">
        <is>
          <t>m240113</t>
        </is>
      </c>
      <c r="B549" s="2">
        <f>IFERROR(VLOOKUP(A549,Students!$A:$B,2,FALSE),"")</f>
        <v/>
      </c>
      <c r="C549" s="2" t="inlineStr">
        <is>
          <t>Fall 2025</t>
        </is>
      </c>
      <c r="D549" s="2" t="inlineStr">
        <is>
          <t>Semester 3</t>
        </is>
      </c>
      <c r="E549" s="2" t="inlineStr">
        <is>
          <t>FIN 230</t>
        </is>
      </c>
      <c r="F549" s="2">
        <f>IFERROR(VLOOKUP(E549,Courses!$A:$C,2,FALSE),"")</f>
        <v/>
      </c>
      <c r="G549" s="2">
        <f>IFERROR(VLOOKUP(E549,Courses!$A:$C,3,FALSE),0)</f>
        <v/>
      </c>
      <c r="H549" s="2" t="inlineStr">
        <is>
          <t>B</t>
        </is>
      </c>
      <c r="I549" s="2" t="n">
        <v>83</v>
      </c>
      <c r="J549" s="2">
        <f>IFERROR(VLOOKUP(H549,'Grade Scale'!$A:$B,2,FALSE),0)</f>
        <v/>
      </c>
      <c r="K549" s="2">
        <f>J549*G549</f>
        <v/>
      </c>
      <c r="L549" s="2">
        <f>IF(H549="F",0,G549)</f>
        <v/>
      </c>
    </row>
    <row r="550">
      <c r="A550" s="2" t="inlineStr">
        <is>
          <t>m240113</t>
        </is>
      </c>
      <c r="B550" s="2">
        <f>IFERROR(VLOOKUP(A550,Students!$A:$B,2,FALSE),"")</f>
        <v/>
      </c>
      <c r="C550" s="2" t="inlineStr">
        <is>
          <t>Fall 2025</t>
        </is>
      </c>
      <c r="D550" s="2" t="inlineStr">
        <is>
          <t>Semester 3</t>
        </is>
      </c>
      <c r="E550" s="2" t="inlineStr">
        <is>
          <t>ECO 210</t>
        </is>
      </c>
      <c r="F550" s="2">
        <f>IFERROR(VLOOKUP(E550,Courses!$A:$C,2,FALSE),"")</f>
        <v/>
      </c>
      <c r="G550" s="2">
        <f>IFERROR(VLOOKUP(E550,Courses!$A:$C,3,FALSE),0)</f>
        <v/>
      </c>
      <c r="H550" s="2" t="inlineStr">
        <is>
          <t>B-</t>
        </is>
      </c>
      <c r="I550" s="2" t="n">
        <v>81</v>
      </c>
      <c r="J550" s="2">
        <f>IFERROR(VLOOKUP(H550,'Grade Scale'!$A:$B,2,FALSE),0)</f>
        <v/>
      </c>
      <c r="K550" s="2">
        <f>J550*G550</f>
        <v/>
      </c>
      <c r="L550" s="2">
        <f>IF(H550="F",0,G550)</f>
        <v/>
      </c>
    </row>
    <row r="551">
      <c r="A551" s="2" t="inlineStr">
        <is>
          <t>m240113</t>
        </is>
      </c>
      <c r="B551" s="2">
        <f>IFERROR(VLOOKUP(A551,Students!$A:$B,2,FALSE),"")</f>
        <v/>
      </c>
      <c r="C551" s="2" t="inlineStr">
        <is>
          <t>Fall 2025</t>
        </is>
      </c>
      <c r="D551" s="2" t="inlineStr">
        <is>
          <t>Semester 3</t>
        </is>
      </c>
      <c r="E551" s="2" t="inlineStr">
        <is>
          <t>LAW 201</t>
        </is>
      </c>
      <c r="F551" s="2">
        <f>IFERROR(VLOOKUP(E551,Courses!$A:$C,2,FALSE),"")</f>
        <v/>
      </c>
      <c r="G551" s="2">
        <f>IFERROR(VLOOKUP(E551,Courses!$A:$C,3,FALSE),0)</f>
        <v/>
      </c>
      <c r="H551" s="2" t="inlineStr">
        <is>
          <t>C</t>
        </is>
      </c>
      <c r="I551" s="2" t="n">
        <v>73</v>
      </c>
      <c r="J551" s="2">
        <f>IFERROR(VLOOKUP(H551,'Grade Scale'!$A:$B,2,FALSE),0)</f>
        <v/>
      </c>
      <c r="K551" s="2">
        <f>J551*G551</f>
        <v/>
      </c>
      <c r="L551" s="2">
        <f>IF(H551="F",0,G551)</f>
        <v/>
      </c>
    </row>
    <row r="552">
      <c r="A552" s="2" t="inlineStr">
        <is>
          <t>m240113</t>
        </is>
      </c>
      <c r="B552" s="2">
        <f>IFERROR(VLOOKUP(A552,Students!$A:$B,2,FALSE),"")</f>
        <v/>
      </c>
      <c r="C552" s="2" t="inlineStr">
        <is>
          <t>Spring 2026</t>
        </is>
      </c>
      <c r="D552" s="2" t="inlineStr">
        <is>
          <t>Semester 4</t>
        </is>
      </c>
      <c r="E552" s="2" t="inlineStr">
        <is>
          <t>FIN 240</t>
        </is>
      </c>
      <c r="F552" s="2">
        <f>IFERROR(VLOOKUP(E552,Courses!$A:$C,2,FALSE),"")</f>
        <v/>
      </c>
      <c r="G552" s="2">
        <f>IFERROR(VLOOKUP(E552,Courses!$A:$C,3,FALSE),0)</f>
        <v/>
      </c>
      <c r="H552" s="2" t="inlineStr">
        <is>
          <t>C+</t>
        </is>
      </c>
      <c r="I552" s="2" t="n">
        <v>78</v>
      </c>
      <c r="J552" s="2">
        <f>IFERROR(VLOOKUP(H552,'Grade Scale'!$A:$B,2,FALSE),0)</f>
        <v/>
      </c>
      <c r="K552" s="2">
        <f>J552*G552</f>
        <v/>
      </c>
      <c r="L552" s="2">
        <f>IF(H552="F",0,G552)</f>
        <v/>
      </c>
    </row>
    <row r="553">
      <c r="A553" s="2" t="inlineStr">
        <is>
          <t>m240113</t>
        </is>
      </c>
      <c r="B553" s="2">
        <f>IFERROR(VLOOKUP(A553,Students!$A:$B,2,FALSE),"")</f>
        <v/>
      </c>
      <c r="C553" s="2" t="inlineStr">
        <is>
          <t>Spring 2026</t>
        </is>
      </c>
      <c r="D553" s="2" t="inlineStr">
        <is>
          <t>Semester 4</t>
        </is>
      </c>
      <c r="E553" s="2" t="inlineStr">
        <is>
          <t>FIN 250</t>
        </is>
      </c>
      <c r="F553" s="2">
        <f>IFERROR(VLOOKUP(E553,Courses!$A:$C,2,FALSE),"")</f>
        <v/>
      </c>
      <c r="G553" s="2">
        <f>IFERROR(VLOOKUP(E553,Courses!$A:$C,3,FALSE),0)</f>
        <v/>
      </c>
      <c r="H553" s="2" t="inlineStr">
        <is>
          <t>B-</t>
        </is>
      </c>
      <c r="I553" s="2" t="n">
        <v>80</v>
      </c>
      <c r="J553" s="2">
        <f>IFERROR(VLOOKUP(H553,'Grade Scale'!$A:$B,2,FALSE),0)</f>
        <v/>
      </c>
      <c r="K553" s="2">
        <f>J553*G553</f>
        <v/>
      </c>
      <c r="L553" s="2">
        <f>IF(H553="F",0,G553)</f>
        <v/>
      </c>
    </row>
    <row r="554">
      <c r="A554" s="2" t="inlineStr">
        <is>
          <t>m240113</t>
        </is>
      </c>
      <c r="B554" s="2">
        <f>IFERROR(VLOOKUP(A554,Students!$A:$B,2,FALSE),"")</f>
        <v/>
      </c>
      <c r="C554" s="2" t="inlineStr">
        <is>
          <t>Spring 2026</t>
        </is>
      </c>
      <c r="D554" s="2" t="inlineStr">
        <is>
          <t>Semester 4</t>
        </is>
      </c>
      <c r="E554" s="2" t="inlineStr">
        <is>
          <t>FIN 260</t>
        </is>
      </c>
      <c r="F554" s="2">
        <f>IFERROR(VLOOKUP(E554,Courses!$A:$C,2,FALSE),"")</f>
        <v/>
      </c>
      <c r="G554" s="2">
        <f>IFERROR(VLOOKUP(E554,Courses!$A:$C,3,FALSE),0)</f>
        <v/>
      </c>
      <c r="H554" s="2" t="inlineStr">
        <is>
          <t>C</t>
        </is>
      </c>
      <c r="I554" s="2" t="n">
        <v>76</v>
      </c>
      <c r="J554" s="2">
        <f>IFERROR(VLOOKUP(H554,'Grade Scale'!$A:$B,2,FALSE),0)</f>
        <v/>
      </c>
      <c r="K554" s="2">
        <f>J554*G554</f>
        <v/>
      </c>
      <c r="L554" s="2">
        <f>IF(H554="F",0,G554)</f>
        <v/>
      </c>
    </row>
    <row r="555">
      <c r="A555" s="2" t="inlineStr">
        <is>
          <t>m240113</t>
        </is>
      </c>
      <c r="B555" s="2">
        <f>IFERROR(VLOOKUP(A555,Students!$A:$B,2,FALSE),"")</f>
        <v/>
      </c>
      <c r="C555" s="2" t="inlineStr">
        <is>
          <t>Spring 2026</t>
        </is>
      </c>
      <c r="D555" s="2" t="inlineStr">
        <is>
          <t>Semester 4</t>
        </is>
      </c>
      <c r="E555" s="2" t="inlineStr">
        <is>
          <t>ECO 220</t>
        </is>
      </c>
      <c r="F555" s="2">
        <f>IFERROR(VLOOKUP(E555,Courses!$A:$C,2,FALSE),"")</f>
        <v/>
      </c>
      <c r="G555" s="2">
        <f>IFERROR(VLOOKUP(E555,Courses!$A:$C,3,FALSE),0)</f>
        <v/>
      </c>
      <c r="H555" s="2" t="inlineStr">
        <is>
          <t>C+</t>
        </is>
      </c>
      <c r="I555" s="2" t="n">
        <v>79</v>
      </c>
      <c r="J555" s="2">
        <f>IFERROR(VLOOKUP(H555,'Grade Scale'!$A:$B,2,FALSE),0)</f>
        <v/>
      </c>
      <c r="K555" s="2">
        <f>J555*G555</f>
        <v/>
      </c>
      <c r="L555" s="2">
        <f>IF(H555="F",0,G555)</f>
        <v/>
      </c>
    </row>
    <row r="556">
      <c r="A556" s="2" t="inlineStr">
        <is>
          <t>m240113</t>
        </is>
      </c>
      <c r="B556" s="2">
        <f>IFERROR(VLOOKUP(A556,Students!$A:$B,2,FALSE),"")</f>
        <v/>
      </c>
      <c r="C556" s="2" t="inlineStr">
        <is>
          <t>Spring 2026</t>
        </is>
      </c>
      <c r="D556" s="2" t="inlineStr">
        <is>
          <t>Semester 4</t>
        </is>
      </c>
      <c r="E556" s="2" t="inlineStr">
        <is>
          <t>ACC 210</t>
        </is>
      </c>
      <c r="F556" s="2">
        <f>IFERROR(VLOOKUP(E556,Courses!$A:$C,2,FALSE),"")</f>
        <v/>
      </c>
      <c r="G556" s="2">
        <f>IFERROR(VLOOKUP(E556,Courses!$A:$C,3,FALSE),0)</f>
        <v/>
      </c>
      <c r="H556" s="2" t="inlineStr">
        <is>
          <t>C</t>
        </is>
      </c>
      <c r="I556" s="2" t="n">
        <v>76</v>
      </c>
      <c r="J556" s="2">
        <f>IFERROR(VLOOKUP(H556,'Grade Scale'!$A:$B,2,FALSE),0)</f>
        <v/>
      </c>
      <c r="K556" s="2">
        <f>J556*G556</f>
        <v/>
      </c>
      <c r="L556" s="2">
        <f>IF(H556="F",0,G556)</f>
        <v/>
      </c>
    </row>
    <row r="557">
      <c r="A557" s="2" t="inlineStr">
        <is>
          <t>m250215</t>
        </is>
      </c>
      <c r="B557" s="2">
        <f>IFERROR(VLOOKUP(A557,Students!$A:$B,2,FALSE),"")</f>
        <v/>
      </c>
      <c r="C557" s="2" t="inlineStr">
        <is>
          <t>Spring 2025</t>
        </is>
      </c>
      <c r="D557" s="2" t="inlineStr">
        <is>
          <t>Semester 1</t>
        </is>
      </c>
      <c r="E557" s="2" t="inlineStr">
        <is>
          <t>IRL 501</t>
        </is>
      </c>
      <c r="F557" s="2">
        <f>IFERROR(VLOOKUP(E557,Courses!$A:$C,2,FALSE),"")</f>
        <v/>
      </c>
      <c r="G557" s="2">
        <f>IFERROR(VLOOKUP(E557,Courses!$A:$C,3,FALSE),0)</f>
        <v/>
      </c>
      <c r="H557" s="2" t="inlineStr">
        <is>
          <t>D</t>
        </is>
      </c>
      <c r="I557" s="2" t="n">
        <v>64</v>
      </c>
      <c r="J557" s="2">
        <f>IFERROR(VLOOKUP(H557,'Grade Scale'!$A:$B,2,FALSE),0)</f>
        <v/>
      </c>
      <c r="K557" s="2">
        <f>J557*G557</f>
        <v/>
      </c>
      <c r="L557" s="2">
        <f>IF(H557="F",0,G557)</f>
        <v/>
      </c>
    </row>
    <row r="558">
      <c r="A558" s="2" t="inlineStr">
        <is>
          <t>m250215</t>
        </is>
      </c>
      <c r="B558" s="2">
        <f>IFERROR(VLOOKUP(A558,Students!$A:$B,2,FALSE),"")</f>
        <v/>
      </c>
      <c r="C558" s="2" t="inlineStr">
        <is>
          <t>Spring 2025</t>
        </is>
      </c>
      <c r="D558" s="2" t="inlineStr">
        <is>
          <t>Semester 1</t>
        </is>
      </c>
      <c r="E558" s="2" t="inlineStr">
        <is>
          <t>IRL 510</t>
        </is>
      </c>
      <c r="F558" s="2">
        <f>IFERROR(VLOOKUP(E558,Courses!$A:$C,2,FALSE),"")</f>
        <v/>
      </c>
      <c r="G558" s="2">
        <f>IFERROR(VLOOKUP(E558,Courses!$A:$C,3,FALSE),0)</f>
        <v/>
      </c>
      <c r="H558" s="2" t="inlineStr">
        <is>
          <t>D+</t>
        </is>
      </c>
      <c r="I558" s="2" t="n">
        <v>69</v>
      </c>
      <c r="J558" s="2">
        <f>IFERROR(VLOOKUP(H558,'Grade Scale'!$A:$B,2,FALSE),0)</f>
        <v/>
      </c>
      <c r="K558" s="2">
        <f>J558*G558</f>
        <v/>
      </c>
      <c r="L558" s="2">
        <f>IF(H558="F",0,G558)</f>
        <v/>
      </c>
    </row>
    <row r="559">
      <c r="A559" s="2" t="inlineStr">
        <is>
          <t>m250215</t>
        </is>
      </c>
      <c r="B559" s="2">
        <f>IFERROR(VLOOKUP(A559,Students!$A:$B,2,FALSE),"")</f>
        <v/>
      </c>
      <c r="C559" s="2" t="inlineStr">
        <is>
          <t>Spring 2025</t>
        </is>
      </c>
      <c r="D559" s="2" t="inlineStr">
        <is>
          <t>Semester 1</t>
        </is>
      </c>
      <c r="E559" s="2" t="inlineStr">
        <is>
          <t>IRL 520</t>
        </is>
      </c>
      <c r="F559" s="2">
        <f>IFERROR(VLOOKUP(E559,Courses!$A:$C,2,FALSE),"")</f>
        <v/>
      </c>
      <c r="G559" s="2">
        <f>IFERROR(VLOOKUP(E559,Courses!$A:$C,3,FALSE),0)</f>
        <v/>
      </c>
      <c r="H559" s="2" t="inlineStr">
        <is>
          <t>D</t>
        </is>
      </c>
      <c r="I559" s="2" t="n">
        <v>64</v>
      </c>
      <c r="J559" s="2">
        <f>IFERROR(VLOOKUP(H559,'Grade Scale'!$A:$B,2,FALSE),0)</f>
        <v/>
      </c>
      <c r="K559" s="2">
        <f>J559*G559</f>
        <v/>
      </c>
      <c r="L559" s="2">
        <f>IF(H559="F",0,G559)</f>
        <v/>
      </c>
    </row>
    <row r="560">
      <c r="A560" s="2" t="inlineStr">
        <is>
          <t>m250215</t>
        </is>
      </c>
      <c r="B560" s="2">
        <f>IFERROR(VLOOKUP(A560,Students!$A:$B,2,FALSE),"")</f>
        <v/>
      </c>
      <c r="C560" s="2" t="inlineStr">
        <is>
          <t>Spring 2025</t>
        </is>
      </c>
      <c r="D560" s="2" t="inlineStr">
        <is>
          <t>Semester 1</t>
        </is>
      </c>
      <c r="E560" s="2" t="inlineStr">
        <is>
          <t>IRL 530</t>
        </is>
      </c>
      <c r="F560" s="2">
        <f>IFERROR(VLOOKUP(E560,Courses!$A:$C,2,FALSE),"")</f>
        <v/>
      </c>
      <c r="G560" s="2">
        <f>IFERROR(VLOOKUP(E560,Courses!$A:$C,3,FALSE),0)</f>
        <v/>
      </c>
      <c r="H560" s="2" t="inlineStr">
        <is>
          <t>C-</t>
        </is>
      </c>
      <c r="I560" s="2" t="n">
        <v>71</v>
      </c>
      <c r="J560" s="2">
        <f>IFERROR(VLOOKUP(H560,'Grade Scale'!$A:$B,2,FALSE),0)</f>
        <v/>
      </c>
      <c r="K560" s="2">
        <f>J560*G560</f>
        <v/>
      </c>
      <c r="L560" s="2">
        <f>IF(H560="F",0,G560)</f>
        <v/>
      </c>
    </row>
    <row r="561">
      <c r="A561" s="2" t="inlineStr">
        <is>
          <t>m250215</t>
        </is>
      </c>
      <c r="B561" s="2">
        <f>IFERROR(VLOOKUP(A561,Students!$A:$B,2,FALSE),"")</f>
        <v/>
      </c>
      <c r="C561" s="2" t="inlineStr">
        <is>
          <t>Spring 2025</t>
        </is>
      </c>
      <c r="D561" s="2" t="inlineStr">
        <is>
          <t>Semester 1</t>
        </is>
      </c>
      <c r="E561" s="2" t="inlineStr">
        <is>
          <t>IRL 540</t>
        </is>
      </c>
      <c r="F561" s="2">
        <f>IFERROR(VLOOKUP(E561,Courses!$A:$C,2,FALSE),"")</f>
        <v/>
      </c>
      <c r="G561" s="2">
        <f>IFERROR(VLOOKUP(E561,Courses!$A:$C,3,FALSE),0)</f>
        <v/>
      </c>
      <c r="H561" s="2" t="inlineStr">
        <is>
          <t>B-</t>
        </is>
      </c>
      <c r="I561" s="2" t="n">
        <v>80</v>
      </c>
      <c r="J561" s="2">
        <f>IFERROR(VLOOKUP(H561,'Grade Scale'!$A:$B,2,FALSE),0)</f>
        <v/>
      </c>
      <c r="K561" s="2">
        <f>J561*G561</f>
        <v/>
      </c>
      <c r="L561" s="2">
        <f>IF(H561="F",0,G561)</f>
        <v/>
      </c>
    </row>
    <row r="562">
      <c r="A562" s="2" t="inlineStr">
        <is>
          <t>m250215</t>
        </is>
      </c>
      <c r="B562" s="2">
        <f>IFERROR(VLOOKUP(A562,Students!$A:$B,2,FALSE),"")</f>
        <v/>
      </c>
      <c r="C562" s="2" t="inlineStr">
        <is>
          <t>Fall 2025</t>
        </is>
      </c>
      <c r="D562" s="2" t="inlineStr">
        <is>
          <t>Semester 2</t>
        </is>
      </c>
      <c r="E562" s="2" t="inlineStr">
        <is>
          <t>IRL 550</t>
        </is>
      </c>
      <c r="F562" s="2">
        <f>IFERROR(VLOOKUP(E562,Courses!$A:$C,2,FALSE),"")</f>
        <v/>
      </c>
      <c r="G562" s="2">
        <f>IFERROR(VLOOKUP(E562,Courses!$A:$C,3,FALSE),0)</f>
        <v/>
      </c>
      <c r="H562" s="2" t="inlineStr">
        <is>
          <t>C+</t>
        </is>
      </c>
      <c r="I562" s="2" t="n">
        <v>79</v>
      </c>
      <c r="J562" s="2">
        <f>IFERROR(VLOOKUP(H562,'Grade Scale'!$A:$B,2,FALSE),0)</f>
        <v/>
      </c>
      <c r="K562" s="2">
        <f>J562*G562</f>
        <v/>
      </c>
      <c r="L562" s="2">
        <f>IF(H562="F",0,G562)</f>
        <v/>
      </c>
    </row>
    <row r="563">
      <c r="A563" s="2" t="inlineStr">
        <is>
          <t>m250215</t>
        </is>
      </c>
      <c r="B563" s="2">
        <f>IFERROR(VLOOKUP(A563,Students!$A:$B,2,FALSE),"")</f>
        <v/>
      </c>
      <c r="C563" s="2" t="inlineStr">
        <is>
          <t>Fall 2025</t>
        </is>
      </c>
      <c r="D563" s="2" t="inlineStr">
        <is>
          <t>Semester 2</t>
        </is>
      </c>
      <c r="E563" s="2" t="inlineStr">
        <is>
          <t>IRL 560</t>
        </is>
      </c>
      <c r="F563" s="2">
        <f>IFERROR(VLOOKUP(E563,Courses!$A:$C,2,FALSE),"")</f>
        <v/>
      </c>
      <c r="G563" s="2">
        <f>IFERROR(VLOOKUP(E563,Courses!$A:$C,3,FALSE),0)</f>
        <v/>
      </c>
      <c r="H563" s="2" t="inlineStr">
        <is>
          <t>C+</t>
        </is>
      </c>
      <c r="I563" s="2" t="n">
        <v>77</v>
      </c>
      <c r="J563" s="2">
        <f>IFERROR(VLOOKUP(H563,'Grade Scale'!$A:$B,2,FALSE),0)</f>
        <v/>
      </c>
      <c r="K563" s="2">
        <f>J563*G563</f>
        <v/>
      </c>
      <c r="L563" s="2">
        <f>IF(H563="F",0,G563)</f>
        <v/>
      </c>
    </row>
    <row r="564">
      <c r="A564" s="2" t="inlineStr">
        <is>
          <t>m250215</t>
        </is>
      </c>
      <c r="B564" s="2">
        <f>IFERROR(VLOOKUP(A564,Students!$A:$B,2,FALSE),"")</f>
        <v/>
      </c>
      <c r="C564" s="2" t="inlineStr">
        <is>
          <t>Fall 2025</t>
        </is>
      </c>
      <c r="D564" s="2" t="inlineStr">
        <is>
          <t>Semester 2</t>
        </is>
      </c>
      <c r="E564" s="2" t="inlineStr">
        <is>
          <t>IRL 570</t>
        </is>
      </c>
      <c r="F564" s="2">
        <f>IFERROR(VLOOKUP(E564,Courses!$A:$C,2,FALSE),"")</f>
        <v/>
      </c>
      <c r="G564" s="2">
        <f>IFERROR(VLOOKUP(E564,Courses!$A:$C,3,FALSE),0)</f>
        <v/>
      </c>
      <c r="H564" s="2" t="inlineStr">
        <is>
          <t>D+</t>
        </is>
      </c>
      <c r="I564" s="2" t="n">
        <v>68</v>
      </c>
      <c r="J564" s="2">
        <f>IFERROR(VLOOKUP(H564,'Grade Scale'!$A:$B,2,FALSE),0)</f>
        <v/>
      </c>
      <c r="K564" s="2">
        <f>J564*G564</f>
        <v/>
      </c>
      <c r="L564" s="2">
        <f>IF(H564="F",0,G564)</f>
        <v/>
      </c>
    </row>
    <row r="565">
      <c r="A565" s="2" t="inlineStr">
        <is>
          <t>m250215</t>
        </is>
      </c>
      <c r="B565" s="2">
        <f>IFERROR(VLOOKUP(A565,Students!$A:$B,2,FALSE),"")</f>
        <v/>
      </c>
      <c r="C565" s="2" t="inlineStr">
        <is>
          <t>Fall 2025</t>
        </is>
      </c>
      <c r="D565" s="2" t="inlineStr">
        <is>
          <t>Semester 2</t>
        </is>
      </c>
      <c r="E565" s="2" t="inlineStr">
        <is>
          <t>IRL 580</t>
        </is>
      </c>
      <c r="F565" s="2">
        <f>IFERROR(VLOOKUP(E565,Courses!$A:$C,2,FALSE),"")</f>
        <v/>
      </c>
      <c r="G565" s="2">
        <f>IFERROR(VLOOKUP(E565,Courses!$A:$C,3,FALSE),0)</f>
        <v/>
      </c>
      <c r="H565" s="2" t="inlineStr">
        <is>
          <t>C-</t>
        </is>
      </c>
      <c r="I565" s="2" t="n">
        <v>72</v>
      </c>
      <c r="J565" s="2">
        <f>IFERROR(VLOOKUP(H565,'Grade Scale'!$A:$B,2,FALSE),0)</f>
        <v/>
      </c>
      <c r="K565" s="2">
        <f>J565*G565</f>
        <v/>
      </c>
      <c r="L565" s="2">
        <f>IF(H565="F",0,G565)</f>
        <v/>
      </c>
    </row>
    <row r="566">
      <c r="A566" s="2" t="inlineStr">
        <is>
          <t>m250215</t>
        </is>
      </c>
      <c r="B566" s="2">
        <f>IFERROR(VLOOKUP(A566,Students!$A:$B,2,FALSE),"")</f>
        <v/>
      </c>
      <c r="C566" s="2" t="inlineStr">
        <is>
          <t>Fall 2025</t>
        </is>
      </c>
      <c r="D566" s="2" t="inlineStr">
        <is>
          <t>Semester 2</t>
        </is>
      </c>
      <c r="E566" s="2" t="inlineStr">
        <is>
          <t>IRL 590</t>
        </is>
      </c>
      <c r="F566" s="2">
        <f>IFERROR(VLOOKUP(E566,Courses!$A:$C,2,FALSE),"")</f>
        <v/>
      </c>
      <c r="G566" s="2">
        <f>IFERROR(VLOOKUP(E566,Courses!$A:$C,3,FALSE),0)</f>
        <v/>
      </c>
      <c r="H566" s="2" t="inlineStr">
        <is>
          <t>C-</t>
        </is>
      </c>
      <c r="I566" s="2" t="n">
        <v>71</v>
      </c>
      <c r="J566" s="2">
        <f>IFERROR(VLOOKUP(H566,'Grade Scale'!$A:$B,2,FALSE),0)</f>
        <v/>
      </c>
      <c r="K566" s="2">
        <f>J566*G566</f>
        <v/>
      </c>
      <c r="L566" s="2">
        <f>IF(H566="F",0,G566)</f>
        <v/>
      </c>
    </row>
    <row r="567">
      <c r="A567" s="2" t="inlineStr">
        <is>
          <t>m250215</t>
        </is>
      </c>
      <c r="B567" s="2">
        <f>IFERROR(VLOOKUP(A567,Students!$A:$B,2,FALSE),"")</f>
        <v/>
      </c>
      <c r="C567" s="2" t="inlineStr">
        <is>
          <t>Spring 2026</t>
        </is>
      </c>
      <c r="D567" s="2" t="inlineStr">
        <is>
          <t>Semester 3</t>
        </is>
      </c>
      <c r="E567" s="2" t="inlineStr">
        <is>
          <t>IRL 610</t>
        </is>
      </c>
      <c r="F567" s="2">
        <f>IFERROR(VLOOKUP(E567,Courses!$A:$C,2,FALSE),"")</f>
        <v/>
      </c>
      <c r="G567" s="2">
        <f>IFERROR(VLOOKUP(E567,Courses!$A:$C,3,FALSE),0)</f>
        <v/>
      </c>
      <c r="H567" s="2" t="inlineStr">
        <is>
          <t>C+</t>
        </is>
      </c>
      <c r="I567" s="2" t="n">
        <v>78</v>
      </c>
      <c r="J567" s="2">
        <f>IFERROR(VLOOKUP(H567,'Grade Scale'!$A:$B,2,FALSE),0)</f>
        <v/>
      </c>
      <c r="K567" s="2">
        <f>J567*G567</f>
        <v/>
      </c>
      <c r="L567" s="2">
        <f>IF(H567="F",0,G567)</f>
        <v/>
      </c>
    </row>
    <row r="568">
      <c r="A568" s="2" t="inlineStr">
        <is>
          <t>m250215</t>
        </is>
      </c>
      <c r="B568" s="2">
        <f>IFERROR(VLOOKUP(A568,Students!$A:$B,2,FALSE),"")</f>
        <v/>
      </c>
      <c r="C568" s="2" t="inlineStr">
        <is>
          <t>Spring 2026</t>
        </is>
      </c>
      <c r="D568" s="2" t="inlineStr">
        <is>
          <t>Semester 3</t>
        </is>
      </c>
      <c r="E568" s="2" t="inlineStr">
        <is>
          <t>IRL 620</t>
        </is>
      </c>
      <c r="F568" s="2">
        <f>IFERROR(VLOOKUP(E568,Courses!$A:$C,2,FALSE),"")</f>
        <v/>
      </c>
      <c r="G568" s="2">
        <f>IFERROR(VLOOKUP(E568,Courses!$A:$C,3,FALSE),0)</f>
        <v/>
      </c>
      <c r="H568" s="2" t="inlineStr">
        <is>
          <t>B-</t>
        </is>
      </c>
      <c r="I568" s="2" t="n">
        <v>81</v>
      </c>
      <c r="J568" s="2">
        <f>IFERROR(VLOOKUP(H568,'Grade Scale'!$A:$B,2,FALSE),0)</f>
        <v/>
      </c>
      <c r="K568" s="2">
        <f>J568*G568</f>
        <v/>
      </c>
      <c r="L568" s="2">
        <f>IF(H568="F",0,G568)</f>
        <v/>
      </c>
    </row>
    <row r="569">
      <c r="A569" s="2" t="inlineStr">
        <is>
          <t>m250215</t>
        </is>
      </c>
      <c r="B569" s="2">
        <f>IFERROR(VLOOKUP(A569,Students!$A:$B,2,FALSE),"")</f>
        <v/>
      </c>
      <c r="C569" s="2" t="inlineStr">
        <is>
          <t>Spring 2026</t>
        </is>
      </c>
      <c r="D569" s="2" t="inlineStr">
        <is>
          <t>Semester 3</t>
        </is>
      </c>
      <c r="E569" s="2" t="inlineStr">
        <is>
          <t>IRL 630</t>
        </is>
      </c>
      <c r="F569" s="2">
        <f>IFERROR(VLOOKUP(E569,Courses!$A:$C,2,FALSE),"")</f>
        <v/>
      </c>
      <c r="G569" s="2">
        <f>IFERROR(VLOOKUP(E569,Courses!$A:$C,3,FALSE),0)</f>
        <v/>
      </c>
      <c r="H569" s="2" t="inlineStr">
        <is>
          <t>B+</t>
        </is>
      </c>
      <c r="I569" s="2" t="n">
        <v>89</v>
      </c>
      <c r="J569" s="2">
        <f>IFERROR(VLOOKUP(H569,'Grade Scale'!$A:$B,2,FALSE),0)</f>
        <v/>
      </c>
      <c r="K569" s="2">
        <f>J569*G569</f>
        <v/>
      </c>
      <c r="L569" s="2">
        <f>IF(H569="F",0,G569)</f>
        <v/>
      </c>
    </row>
    <row r="570">
      <c r="A570" s="2" t="inlineStr">
        <is>
          <t>m250215</t>
        </is>
      </c>
      <c r="B570" s="2">
        <f>IFERROR(VLOOKUP(A570,Students!$A:$B,2,FALSE),"")</f>
        <v/>
      </c>
      <c r="C570" s="2" t="inlineStr">
        <is>
          <t>Spring 2026</t>
        </is>
      </c>
      <c r="D570" s="2" t="inlineStr">
        <is>
          <t>Semester 3</t>
        </is>
      </c>
      <c r="E570" s="2" t="inlineStr">
        <is>
          <t>IRL 640</t>
        </is>
      </c>
      <c r="F570" s="2">
        <f>IFERROR(VLOOKUP(E570,Courses!$A:$C,2,FALSE),"")</f>
        <v/>
      </c>
      <c r="G570" s="2">
        <f>IFERROR(VLOOKUP(E570,Courses!$A:$C,3,FALSE),0)</f>
        <v/>
      </c>
      <c r="H570" s="2" t="inlineStr">
        <is>
          <t>C</t>
        </is>
      </c>
      <c r="I570" s="2" t="n">
        <v>75</v>
      </c>
      <c r="J570" s="2">
        <f>IFERROR(VLOOKUP(H570,'Grade Scale'!$A:$B,2,FALSE),0)</f>
        <v/>
      </c>
      <c r="K570" s="2">
        <f>J570*G570</f>
        <v/>
      </c>
      <c r="L570" s="2">
        <f>IF(H570="F",0,G570)</f>
        <v/>
      </c>
    </row>
    <row r="571">
      <c r="A571" s="2" t="inlineStr">
        <is>
          <t>m250215</t>
        </is>
      </c>
      <c r="B571" s="2">
        <f>IFERROR(VLOOKUP(A571,Students!$A:$B,2,FALSE),"")</f>
        <v/>
      </c>
      <c r="C571" s="2" t="inlineStr">
        <is>
          <t>Spring 2026</t>
        </is>
      </c>
      <c r="D571" s="2" t="inlineStr">
        <is>
          <t>Semester 3</t>
        </is>
      </c>
      <c r="E571" s="2" t="inlineStr">
        <is>
          <t>IRL 690</t>
        </is>
      </c>
      <c r="F571" s="2">
        <f>IFERROR(VLOOKUP(E571,Courses!$A:$C,2,FALSE),"")</f>
        <v/>
      </c>
      <c r="G571" s="2">
        <f>IFERROR(VLOOKUP(E571,Courses!$A:$C,3,FALSE),0)</f>
        <v/>
      </c>
      <c r="H571" s="2" t="inlineStr">
        <is>
          <t>C-</t>
        </is>
      </c>
      <c r="I571" s="2" t="n">
        <v>70</v>
      </c>
      <c r="J571" s="2">
        <f>IFERROR(VLOOKUP(H571,'Grade Scale'!$A:$B,2,FALSE),0)</f>
        <v/>
      </c>
      <c r="K571" s="2">
        <f>J571*G571</f>
        <v/>
      </c>
      <c r="L571" s="2">
        <f>IF(H571="F",0,G571)</f>
        <v/>
      </c>
    </row>
    <row r="572">
      <c r="A572" s="2" t="inlineStr">
        <is>
          <t>m250311</t>
        </is>
      </c>
      <c r="B572" s="2">
        <f>IFERROR(VLOOKUP(A572,Students!$A:$B,2,FALSE),"")</f>
        <v/>
      </c>
      <c r="C572" s="2" t="inlineStr">
        <is>
          <t>Fall 2025</t>
        </is>
      </c>
      <c r="D572" s="2" t="inlineStr">
        <is>
          <t>Semester 1</t>
        </is>
      </c>
      <c r="E572" s="2" t="inlineStr">
        <is>
          <t>CIV 101</t>
        </is>
      </c>
      <c r="F572" s="2">
        <f>IFERROR(VLOOKUP(E572,Courses!$A:$C,2,FALSE),"")</f>
        <v/>
      </c>
      <c r="G572" s="2">
        <f>IFERROR(VLOOKUP(E572,Courses!$A:$C,3,FALSE),0)</f>
        <v/>
      </c>
      <c r="H572" s="2" t="inlineStr">
        <is>
          <t>C</t>
        </is>
      </c>
      <c r="I572" s="2" t="n">
        <v>73</v>
      </c>
      <c r="J572" s="2">
        <f>IFERROR(VLOOKUP(H572,'Grade Scale'!$A:$B,2,FALSE),0)</f>
        <v/>
      </c>
      <c r="K572" s="2">
        <f>J572*G572</f>
        <v/>
      </c>
      <c r="L572" s="2">
        <f>IF(H572="F",0,G572)</f>
        <v/>
      </c>
    </row>
    <row r="573">
      <c r="A573" s="2" t="inlineStr">
        <is>
          <t>m250311</t>
        </is>
      </c>
      <c r="B573" s="2">
        <f>IFERROR(VLOOKUP(A573,Students!$A:$B,2,FALSE),"")</f>
        <v/>
      </c>
      <c r="C573" s="2" t="inlineStr">
        <is>
          <t>Fall 2025</t>
        </is>
      </c>
      <c r="D573" s="2" t="inlineStr">
        <is>
          <t>Semester 1</t>
        </is>
      </c>
      <c r="E573" s="2" t="inlineStr">
        <is>
          <t>MTH 120</t>
        </is>
      </c>
      <c r="F573" s="2">
        <f>IFERROR(VLOOKUP(E573,Courses!$A:$C,2,FALSE),"")</f>
        <v/>
      </c>
      <c r="G573" s="2">
        <f>IFERROR(VLOOKUP(E573,Courses!$A:$C,3,FALSE),0)</f>
        <v/>
      </c>
      <c r="H573" s="2" t="inlineStr">
        <is>
          <t>B+</t>
        </is>
      </c>
      <c r="I573" s="2" t="n">
        <v>89</v>
      </c>
      <c r="J573" s="2">
        <f>IFERROR(VLOOKUP(H573,'Grade Scale'!$A:$B,2,FALSE),0)</f>
        <v/>
      </c>
      <c r="K573" s="2">
        <f>J573*G573</f>
        <v/>
      </c>
      <c r="L573" s="2">
        <f>IF(H573="F",0,G573)</f>
        <v/>
      </c>
    </row>
    <row r="574">
      <c r="A574" s="2" t="inlineStr">
        <is>
          <t>m250311</t>
        </is>
      </c>
      <c r="B574" s="2">
        <f>IFERROR(VLOOKUP(A574,Students!$A:$B,2,FALSE),"")</f>
        <v/>
      </c>
      <c r="C574" s="2" t="inlineStr">
        <is>
          <t>Fall 2025</t>
        </is>
      </c>
      <c r="D574" s="2" t="inlineStr">
        <is>
          <t>Semester 1</t>
        </is>
      </c>
      <c r="E574" s="2" t="inlineStr">
        <is>
          <t>PHY 101</t>
        </is>
      </c>
      <c r="F574" s="2">
        <f>IFERROR(VLOOKUP(E574,Courses!$A:$C,2,FALSE),"")</f>
        <v/>
      </c>
      <c r="G574" s="2">
        <f>IFERROR(VLOOKUP(E574,Courses!$A:$C,3,FALSE),0)</f>
        <v/>
      </c>
      <c r="H574" s="2" t="inlineStr">
        <is>
          <t>C+</t>
        </is>
      </c>
      <c r="I574" s="2" t="n">
        <v>79</v>
      </c>
      <c r="J574" s="2">
        <f>IFERROR(VLOOKUP(H574,'Grade Scale'!$A:$B,2,FALSE),0)</f>
        <v/>
      </c>
      <c r="K574" s="2">
        <f>J574*G574</f>
        <v/>
      </c>
      <c r="L574" s="2">
        <f>IF(H574="F",0,G574)</f>
        <v/>
      </c>
    </row>
    <row r="575">
      <c r="A575" s="2" t="inlineStr">
        <is>
          <t>m250311</t>
        </is>
      </c>
      <c r="B575" s="2">
        <f>IFERROR(VLOOKUP(A575,Students!$A:$B,2,FALSE),"")</f>
        <v/>
      </c>
      <c r="C575" s="2" t="inlineStr">
        <is>
          <t>Fall 2025</t>
        </is>
      </c>
      <c r="D575" s="2" t="inlineStr">
        <is>
          <t>Semester 1</t>
        </is>
      </c>
      <c r="E575" s="2" t="inlineStr">
        <is>
          <t>ENG 101</t>
        </is>
      </c>
      <c r="F575" s="2">
        <f>IFERROR(VLOOKUP(E575,Courses!$A:$C,2,FALSE),"")</f>
        <v/>
      </c>
      <c r="G575" s="2">
        <f>IFERROR(VLOOKUP(E575,Courses!$A:$C,3,FALSE),0)</f>
        <v/>
      </c>
      <c r="H575" s="2" t="inlineStr">
        <is>
          <t>D+</t>
        </is>
      </c>
      <c r="I575" s="2" t="n">
        <v>69</v>
      </c>
      <c r="J575" s="2">
        <f>IFERROR(VLOOKUP(H575,'Grade Scale'!$A:$B,2,FALSE),0)</f>
        <v/>
      </c>
      <c r="K575" s="2">
        <f>J575*G575</f>
        <v/>
      </c>
      <c r="L575" s="2">
        <f>IF(H575="F",0,G575)</f>
        <v/>
      </c>
    </row>
    <row r="576">
      <c r="A576" s="2" t="inlineStr">
        <is>
          <t>m250311</t>
        </is>
      </c>
      <c r="B576" s="2">
        <f>IFERROR(VLOOKUP(A576,Students!$A:$B,2,FALSE),"")</f>
        <v/>
      </c>
      <c r="C576" s="2" t="inlineStr">
        <is>
          <t>Fall 2025</t>
        </is>
      </c>
      <c r="D576" s="2" t="inlineStr">
        <is>
          <t>Semester 1</t>
        </is>
      </c>
      <c r="E576" s="2" t="inlineStr">
        <is>
          <t>CHM 101</t>
        </is>
      </c>
      <c r="F576" s="2">
        <f>IFERROR(VLOOKUP(E576,Courses!$A:$C,2,FALSE),"")</f>
        <v/>
      </c>
      <c r="G576" s="2">
        <f>IFERROR(VLOOKUP(E576,Courses!$A:$C,3,FALSE),0)</f>
        <v/>
      </c>
      <c r="H576" s="2" t="inlineStr">
        <is>
          <t>C-</t>
        </is>
      </c>
      <c r="I576" s="2" t="n">
        <v>72</v>
      </c>
      <c r="J576" s="2">
        <f>IFERROR(VLOOKUP(H576,'Grade Scale'!$A:$B,2,FALSE),0)</f>
        <v/>
      </c>
      <c r="K576" s="2">
        <f>J576*G576</f>
        <v/>
      </c>
      <c r="L576" s="2">
        <f>IF(H576="F",0,G576)</f>
        <v/>
      </c>
    </row>
    <row r="577">
      <c r="A577" s="2" t="inlineStr">
        <is>
          <t>m250311</t>
        </is>
      </c>
      <c r="B577" s="2">
        <f>IFERROR(VLOOKUP(A577,Students!$A:$B,2,FALSE),"")</f>
        <v/>
      </c>
      <c r="C577" s="2" t="inlineStr">
        <is>
          <t>Spring 2026</t>
        </is>
      </c>
      <c r="D577" s="2" t="inlineStr">
        <is>
          <t>Semester 2</t>
        </is>
      </c>
      <c r="E577" s="2" t="inlineStr">
        <is>
          <t>CIV 150</t>
        </is>
      </c>
      <c r="F577" s="2">
        <f>IFERROR(VLOOKUP(E577,Courses!$A:$C,2,FALSE),"")</f>
        <v/>
      </c>
      <c r="G577" s="2">
        <f>IFERROR(VLOOKUP(E577,Courses!$A:$C,3,FALSE),0)</f>
        <v/>
      </c>
      <c r="H577" s="2" t="inlineStr">
        <is>
          <t>C</t>
        </is>
      </c>
      <c r="I577" s="2" t="n">
        <v>76</v>
      </c>
      <c r="J577" s="2">
        <f>IFERROR(VLOOKUP(H577,'Grade Scale'!$A:$B,2,FALSE),0)</f>
        <v/>
      </c>
      <c r="K577" s="2">
        <f>J577*G577</f>
        <v/>
      </c>
      <c r="L577" s="2">
        <f>IF(H577="F",0,G577)</f>
        <v/>
      </c>
    </row>
    <row r="578">
      <c r="A578" s="2" t="inlineStr">
        <is>
          <t>m250311</t>
        </is>
      </c>
      <c r="B578" s="2">
        <f>IFERROR(VLOOKUP(A578,Students!$A:$B,2,FALSE),"")</f>
        <v/>
      </c>
      <c r="C578" s="2" t="inlineStr">
        <is>
          <t>Spring 2026</t>
        </is>
      </c>
      <c r="D578" s="2" t="inlineStr">
        <is>
          <t>Semester 2</t>
        </is>
      </c>
      <c r="E578" s="2" t="inlineStr">
        <is>
          <t>MTH 140</t>
        </is>
      </c>
      <c r="F578" s="2">
        <f>IFERROR(VLOOKUP(E578,Courses!$A:$C,2,FALSE),"")</f>
        <v/>
      </c>
      <c r="G578" s="2">
        <f>IFERROR(VLOOKUP(E578,Courses!$A:$C,3,FALSE),0)</f>
        <v/>
      </c>
      <c r="H578" s="2" t="inlineStr">
        <is>
          <t>C-</t>
        </is>
      </c>
      <c r="I578" s="2" t="n">
        <v>71</v>
      </c>
      <c r="J578" s="2">
        <f>IFERROR(VLOOKUP(H578,'Grade Scale'!$A:$B,2,FALSE),0)</f>
        <v/>
      </c>
      <c r="K578" s="2">
        <f>J578*G578</f>
        <v/>
      </c>
      <c r="L578" s="2">
        <f>IF(H578="F",0,G578)</f>
        <v/>
      </c>
    </row>
    <row r="579">
      <c r="A579" s="2" t="inlineStr">
        <is>
          <t>m250311</t>
        </is>
      </c>
      <c r="B579" s="2">
        <f>IFERROR(VLOOKUP(A579,Students!$A:$B,2,FALSE),"")</f>
        <v/>
      </c>
      <c r="C579" s="2" t="inlineStr">
        <is>
          <t>Spring 2026</t>
        </is>
      </c>
      <c r="D579" s="2" t="inlineStr">
        <is>
          <t>Semester 2</t>
        </is>
      </c>
      <c r="E579" s="2" t="inlineStr">
        <is>
          <t>PHY 102</t>
        </is>
      </c>
      <c r="F579" s="2">
        <f>IFERROR(VLOOKUP(E579,Courses!$A:$C,2,FALSE),"")</f>
        <v/>
      </c>
      <c r="G579" s="2">
        <f>IFERROR(VLOOKUP(E579,Courses!$A:$C,3,FALSE),0)</f>
        <v/>
      </c>
      <c r="H579" s="2" t="inlineStr">
        <is>
          <t>C-</t>
        </is>
      </c>
      <c r="I579" s="2" t="n">
        <v>71</v>
      </c>
      <c r="J579" s="2">
        <f>IFERROR(VLOOKUP(H579,'Grade Scale'!$A:$B,2,FALSE),0)</f>
        <v/>
      </c>
      <c r="K579" s="2">
        <f>J579*G579</f>
        <v/>
      </c>
      <c r="L579" s="2">
        <f>IF(H579="F",0,G579)</f>
        <v/>
      </c>
    </row>
    <row r="580">
      <c r="A580" s="2" t="inlineStr">
        <is>
          <t>m250311</t>
        </is>
      </c>
      <c r="B580" s="2">
        <f>IFERROR(VLOOKUP(A580,Students!$A:$B,2,FALSE),"")</f>
        <v/>
      </c>
      <c r="C580" s="2" t="inlineStr">
        <is>
          <t>Spring 2026</t>
        </is>
      </c>
      <c r="D580" s="2" t="inlineStr">
        <is>
          <t>Semester 2</t>
        </is>
      </c>
      <c r="E580" s="2" t="inlineStr">
        <is>
          <t>ENG 102</t>
        </is>
      </c>
      <c r="F580" s="2">
        <f>IFERROR(VLOOKUP(E580,Courses!$A:$C,2,FALSE),"")</f>
        <v/>
      </c>
      <c r="G580" s="2">
        <f>IFERROR(VLOOKUP(E580,Courses!$A:$C,3,FALSE),0)</f>
        <v/>
      </c>
      <c r="H580" s="2" t="inlineStr">
        <is>
          <t>C-</t>
        </is>
      </c>
      <c r="I580" s="2" t="n">
        <v>70</v>
      </c>
      <c r="J580" s="2">
        <f>IFERROR(VLOOKUP(H580,'Grade Scale'!$A:$B,2,FALSE),0)</f>
        <v/>
      </c>
      <c r="K580" s="2">
        <f>J580*G580</f>
        <v/>
      </c>
      <c r="L580" s="2">
        <f>IF(H580="F",0,G580)</f>
        <v/>
      </c>
    </row>
    <row r="581">
      <c r="A581" s="2" t="inlineStr">
        <is>
          <t>m250311</t>
        </is>
      </c>
      <c r="B581" s="2">
        <f>IFERROR(VLOOKUP(A581,Students!$A:$B,2,FALSE),"")</f>
        <v/>
      </c>
      <c r="C581" s="2" t="inlineStr">
        <is>
          <t>Spring 2026</t>
        </is>
      </c>
      <c r="D581" s="2" t="inlineStr">
        <is>
          <t>Semester 2</t>
        </is>
      </c>
      <c r="E581" s="2" t="inlineStr">
        <is>
          <t>CIV 160</t>
        </is>
      </c>
      <c r="F581" s="2">
        <f>IFERROR(VLOOKUP(E581,Courses!$A:$C,2,FALSE),"")</f>
        <v/>
      </c>
      <c r="G581" s="2">
        <f>IFERROR(VLOOKUP(E581,Courses!$A:$C,3,FALSE),0)</f>
        <v/>
      </c>
      <c r="H581" s="2" t="inlineStr">
        <is>
          <t>C</t>
        </is>
      </c>
      <c r="I581" s="2" t="n">
        <v>75</v>
      </c>
      <c r="J581" s="2">
        <f>IFERROR(VLOOKUP(H581,'Grade Scale'!$A:$B,2,FALSE),0)</f>
        <v/>
      </c>
      <c r="K581" s="2">
        <f>J581*G581</f>
        <v/>
      </c>
      <c r="L581" s="2">
        <f>IF(H581="F",0,G581)</f>
        <v/>
      </c>
    </row>
    <row r="582">
      <c r="A582" s="2" t="inlineStr">
        <is>
          <t>m240114</t>
        </is>
      </c>
      <c r="B582" s="2">
        <f>IFERROR(VLOOKUP(A582,Students!$A:$B,2,FALSE),"")</f>
        <v/>
      </c>
      <c r="C582" s="2" t="inlineStr">
        <is>
          <t>Fall 2024</t>
        </is>
      </c>
      <c r="D582" s="2" t="inlineStr">
        <is>
          <t>Semester 1</t>
        </is>
      </c>
      <c r="E582" s="2" t="inlineStr">
        <is>
          <t>ART 101</t>
        </is>
      </c>
      <c r="F582" s="2">
        <f>IFERROR(VLOOKUP(E582,Courses!$A:$C,2,FALSE),"")</f>
        <v/>
      </c>
      <c r="G582" s="2">
        <f>IFERROR(VLOOKUP(E582,Courses!$A:$C,3,FALSE),0)</f>
        <v/>
      </c>
      <c r="H582" s="2" t="inlineStr">
        <is>
          <t>C+</t>
        </is>
      </c>
      <c r="I582" s="2" t="n">
        <v>78</v>
      </c>
      <c r="J582" s="2">
        <f>IFERROR(VLOOKUP(H582,'Grade Scale'!$A:$B,2,FALSE),0)</f>
        <v/>
      </c>
      <c r="K582" s="2">
        <f>J582*G582</f>
        <v/>
      </c>
      <c r="L582" s="2">
        <f>IF(H582="F",0,G582)</f>
        <v/>
      </c>
    </row>
    <row r="583">
      <c r="A583" s="2" t="inlineStr">
        <is>
          <t>m240114</t>
        </is>
      </c>
      <c r="B583" s="2">
        <f>IFERROR(VLOOKUP(A583,Students!$A:$B,2,FALSE),"")</f>
        <v/>
      </c>
      <c r="C583" s="2" t="inlineStr">
        <is>
          <t>Fall 2024</t>
        </is>
      </c>
      <c r="D583" s="2" t="inlineStr">
        <is>
          <t>Semester 1</t>
        </is>
      </c>
      <c r="E583" s="2" t="inlineStr">
        <is>
          <t>DES 101</t>
        </is>
      </c>
      <c r="F583" s="2">
        <f>IFERROR(VLOOKUP(E583,Courses!$A:$C,2,FALSE),"")</f>
        <v/>
      </c>
      <c r="G583" s="2">
        <f>IFERROR(VLOOKUP(E583,Courses!$A:$C,3,FALSE),0)</f>
        <v/>
      </c>
      <c r="H583" s="2" t="inlineStr">
        <is>
          <t>B</t>
        </is>
      </c>
      <c r="I583" s="2" t="n">
        <v>85</v>
      </c>
      <c r="J583" s="2">
        <f>IFERROR(VLOOKUP(H583,'Grade Scale'!$A:$B,2,FALSE),0)</f>
        <v/>
      </c>
      <c r="K583" s="2">
        <f>J583*G583</f>
        <v/>
      </c>
      <c r="L583" s="2">
        <f>IF(H583="F",0,G583)</f>
        <v/>
      </c>
    </row>
    <row r="584">
      <c r="A584" s="2" t="inlineStr">
        <is>
          <t>m240114</t>
        </is>
      </c>
      <c r="B584" s="2">
        <f>IFERROR(VLOOKUP(A584,Students!$A:$B,2,FALSE),"")</f>
        <v/>
      </c>
      <c r="C584" s="2" t="inlineStr">
        <is>
          <t>Fall 2024</t>
        </is>
      </c>
      <c r="D584" s="2" t="inlineStr">
        <is>
          <t>Semester 1</t>
        </is>
      </c>
      <c r="E584" s="2" t="inlineStr">
        <is>
          <t>ART 110</t>
        </is>
      </c>
      <c r="F584" s="2">
        <f>IFERROR(VLOOKUP(E584,Courses!$A:$C,2,FALSE),"")</f>
        <v/>
      </c>
      <c r="G584" s="2">
        <f>IFERROR(VLOOKUP(E584,Courses!$A:$C,3,FALSE),0)</f>
        <v/>
      </c>
      <c r="H584" s="2" t="inlineStr">
        <is>
          <t>C</t>
        </is>
      </c>
      <c r="I584" s="2" t="n">
        <v>74</v>
      </c>
      <c r="J584" s="2">
        <f>IFERROR(VLOOKUP(H584,'Grade Scale'!$A:$B,2,FALSE),0)</f>
        <v/>
      </c>
      <c r="K584" s="2">
        <f>J584*G584</f>
        <v/>
      </c>
      <c r="L584" s="2">
        <f>IF(H584="F",0,G584)</f>
        <v/>
      </c>
    </row>
    <row r="585">
      <c r="A585" s="2" t="inlineStr">
        <is>
          <t>m240114</t>
        </is>
      </c>
      <c r="B585" s="2">
        <f>IFERROR(VLOOKUP(A585,Students!$A:$B,2,FALSE),"")</f>
        <v/>
      </c>
      <c r="C585" s="2" t="inlineStr">
        <is>
          <t>Fall 2024</t>
        </is>
      </c>
      <c r="D585" s="2" t="inlineStr">
        <is>
          <t>Semester 1</t>
        </is>
      </c>
      <c r="E585" s="2" t="inlineStr">
        <is>
          <t>ENG 101</t>
        </is>
      </c>
      <c r="F585" s="2">
        <f>IFERROR(VLOOKUP(E585,Courses!$A:$C,2,FALSE),"")</f>
        <v/>
      </c>
      <c r="G585" s="2">
        <f>IFERROR(VLOOKUP(E585,Courses!$A:$C,3,FALSE),0)</f>
        <v/>
      </c>
      <c r="H585" s="2" t="inlineStr">
        <is>
          <t>B</t>
        </is>
      </c>
      <c r="I585" s="2" t="n">
        <v>84</v>
      </c>
      <c r="J585" s="2">
        <f>IFERROR(VLOOKUP(H585,'Grade Scale'!$A:$B,2,FALSE),0)</f>
        <v/>
      </c>
      <c r="K585" s="2">
        <f>J585*G585</f>
        <v/>
      </c>
      <c r="L585" s="2">
        <f>IF(H585="F",0,G585)</f>
        <v/>
      </c>
    </row>
    <row r="586">
      <c r="A586" s="2" t="inlineStr">
        <is>
          <t>m240114</t>
        </is>
      </c>
      <c r="B586" s="2">
        <f>IFERROR(VLOOKUP(A586,Students!$A:$B,2,FALSE),"")</f>
        <v/>
      </c>
      <c r="C586" s="2" t="inlineStr">
        <is>
          <t>Fall 2024</t>
        </is>
      </c>
      <c r="D586" s="2" t="inlineStr">
        <is>
          <t>Semester 1</t>
        </is>
      </c>
      <c r="E586" s="2" t="inlineStr">
        <is>
          <t>HIS 101</t>
        </is>
      </c>
      <c r="F586" s="2">
        <f>IFERROR(VLOOKUP(E586,Courses!$A:$C,2,FALSE),"")</f>
        <v/>
      </c>
      <c r="G586" s="2">
        <f>IFERROR(VLOOKUP(E586,Courses!$A:$C,3,FALSE),0)</f>
        <v/>
      </c>
      <c r="H586" s="2" t="inlineStr">
        <is>
          <t>B</t>
        </is>
      </c>
      <c r="I586" s="2" t="n">
        <v>83</v>
      </c>
      <c r="J586" s="2">
        <f>IFERROR(VLOOKUP(H586,'Grade Scale'!$A:$B,2,FALSE),0)</f>
        <v/>
      </c>
      <c r="K586" s="2">
        <f>J586*G586</f>
        <v/>
      </c>
      <c r="L586" s="2">
        <f>IF(H586="F",0,G586)</f>
        <v/>
      </c>
    </row>
    <row r="587">
      <c r="A587" s="2" t="inlineStr">
        <is>
          <t>m240114</t>
        </is>
      </c>
      <c r="B587" s="2">
        <f>IFERROR(VLOOKUP(A587,Students!$A:$B,2,FALSE),"")</f>
        <v/>
      </c>
      <c r="C587" s="2" t="inlineStr">
        <is>
          <t>Spring 2025</t>
        </is>
      </c>
      <c r="D587" s="2" t="inlineStr">
        <is>
          <t>Semester 2</t>
        </is>
      </c>
      <c r="E587" s="2" t="inlineStr">
        <is>
          <t>DES 150</t>
        </is>
      </c>
      <c r="F587" s="2">
        <f>IFERROR(VLOOKUP(E587,Courses!$A:$C,2,FALSE),"")</f>
        <v/>
      </c>
      <c r="G587" s="2">
        <f>IFERROR(VLOOKUP(E587,Courses!$A:$C,3,FALSE),0)</f>
        <v/>
      </c>
      <c r="H587" s="2" t="inlineStr">
        <is>
          <t>A</t>
        </is>
      </c>
      <c r="I587" s="2" t="n">
        <v>97</v>
      </c>
      <c r="J587" s="2">
        <f>IFERROR(VLOOKUP(H587,'Grade Scale'!$A:$B,2,FALSE),0)</f>
        <v/>
      </c>
      <c r="K587" s="2">
        <f>J587*G587</f>
        <v/>
      </c>
      <c r="L587" s="2">
        <f>IF(H587="F",0,G587)</f>
        <v/>
      </c>
    </row>
    <row r="588">
      <c r="A588" s="2" t="inlineStr">
        <is>
          <t>m240114</t>
        </is>
      </c>
      <c r="B588" s="2">
        <f>IFERROR(VLOOKUP(A588,Students!$A:$B,2,FALSE),"")</f>
        <v/>
      </c>
      <c r="C588" s="2" t="inlineStr">
        <is>
          <t>Spring 2025</t>
        </is>
      </c>
      <c r="D588" s="2" t="inlineStr">
        <is>
          <t>Semester 2</t>
        </is>
      </c>
      <c r="E588" s="2" t="inlineStr">
        <is>
          <t>DES 160</t>
        </is>
      </c>
      <c r="F588" s="2">
        <f>IFERROR(VLOOKUP(E588,Courses!$A:$C,2,FALSE),"")</f>
        <v/>
      </c>
      <c r="G588" s="2">
        <f>IFERROR(VLOOKUP(E588,Courses!$A:$C,3,FALSE),0)</f>
        <v/>
      </c>
      <c r="H588" s="2" t="inlineStr">
        <is>
          <t>C+</t>
        </is>
      </c>
      <c r="I588" s="2" t="n">
        <v>77</v>
      </c>
      <c r="J588" s="2">
        <f>IFERROR(VLOOKUP(H588,'Grade Scale'!$A:$B,2,FALSE),0)</f>
        <v/>
      </c>
      <c r="K588" s="2">
        <f>J588*G588</f>
        <v/>
      </c>
      <c r="L588" s="2">
        <f>IF(H588="F",0,G588)</f>
        <v/>
      </c>
    </row>
    <row r="589">
      <c r="A589" s="2" t="inlineStr">
        <is>
          <t>m240114</t>
        </is>
      </c>
      <c r="B589" s="2">
        <f>IFERROR(VLOOKUP(A589,Students!$A:$B,2,FALSE),"")</f>
        <v/>
      </c>
      <c r="C589" s="2" t="inlineStr">
        <is>
          <t>Spring 2025</t>
        </is>
      </c>
      <c r="D589" s="2" t="inlineStr">
        <is>
          <t>Semester 2</t>
        </is>
      </c>
      <c r="E589" s="2" t="inlineStr">
        <is>
          <t>DES 170</t>
        </is>
      </c>
      <c r="F589" s="2">
        <f>IFERROR(VLOOKUP(E589,Courses!$A:$C,2,FALSE),"")</f>
        <v/>
      </c>
      <c r="G589" s="2">
        <f>IFERROR(VLOOKUP(E589,Courses!$A:$C,3,FALSE),0)</f>
        <v/>
      </c>
      <c r="H589" s="2" t="inlineStr">
        <is>
          <t>B</t>
        </is>
      </c>
      <c r="I589" s="2" t="n">
        <v>86</v>
      </c>
      <c r="J589" s="2">
        <f>IFERROR(VLOOKUP(H589,'Grade Scale'!$A:$B,2,FALSE),0)</f>
        <v/>
      </c>
      <c r="K589" s="2">
        <f>J589*G589</f>
        <v/>
      </c>
      <c r="L589" s="2">
        <f>IF(H589="F",0,G589)</f>
        <v/>
      </c>
    </row>
    <row r="590">
      <c r="A590" s="2" t="inlineStr">
        <is>
          <t>m240114</t>
        </is>
      </c>
      <c r="B590" s="2">
        <f>IFERROR(VLOOKUP(A590,Students!$A:$B,2,FALSE),"")</f>
        <v/>
      </c>
      <c r="C590" s="2" t="inlineStr">
        <is>
          <t>Spring 2025</t>
        </is>
      </c>
      <c r="D590" s="2" t="inlineStr">
        <is>
          <t>Semester 2</t>
        </is>
      </c>
      <c r="E590" s="2" t="inlineStr">
        <is>
          <t>ENG 102</t>
        </is>
      </c>
      <c r="F590" s="2">
        <f>IFERROR(VLOOKUP(E590,Courses!$A:$C,2,FALSE),"")</f>
        <v/>
      </c>
      <c r="G590" s="2">
        <f>IFERROR(VLOOKUP(E590,Courses!$A:$C,3,FALSE),0)</f>
        <v/>
      </c>
      <c r="H590" s="2" t="inlineStr">
        <is>
          <t>B+</t>
        </is>
      </c>
      <c r="I590" s="2" t="n">
        <v>88</v>
      </c>
      <c r="J590" s="2">
        <f>IFERROR(VLOOKUP(H590,'Grade Scale'!$A:$B,2,FALSE),0)</f>
        <v/>
      </c>
      <c r="K590" s="2">
        <f>J590*G590</f>
        <v/>
      </c>
      <c r="L590" s="2">
        <f>IF(H590="F",0,G590)</f>
        <v/>
      </c>
    </row>
    <row r="591">
      <c r="A591" s="2" t="inlineStr">
        <is>
          <t>m240114</t>
        </is>
      </c>
      <c r="B591" s="2">
        <f>IFERROR(VLOOKUP(A591,Students!$A:$B,2,FALSE),"")</f>
        <v/>
      </c>
      <c r="C591" s="2" t="inlineStr">
        <is>
          <t>Spring 2025</t>
        </is>
      </c>
      <c r="D591" s="2" t="inlineStr">
        <is>
          <t>Semester 2</t>
        </is>
      </c>
      <c r="E591" s="2" t="inlineStr">
        <is>
          <t>ART 150</t>
        </is>
      </c>
      <c r="F591" s="2">
        <f>IFERROR(VLOOKUP(E591,Courses!$A:$C,2,FALSE),"")</f>
        <v/>
      </c>
      <c r="G591" s="2">
        <f>IFERROR(VLOOKUP(E591,Courses!$A:$C,3,FALSE),0)</f>
        <v/>
      </c>
      <c r="H591" s="2" t="inlineStr">
        <is>
          <t>B-</t>
        </is>
      </c>
      <c r="I591" s="2" t="n">
        <v>81</v>
      </c>
      <c r="J591" s="2">
        <f>IFERROR(VLOOKUP(H591,'Grade Scale'!$A:$B,2,FALSE),0)</f>
        <v/>
      </c>
      <c r="K591" s="2">
        <f>J591*G591</f>
        <v/>
      </c>
      <c r="L591" s="2">
        <f>IF(H591="F",0,G591)</f>
        <v/>
      </c>
    </row>
    <row r="592">
      <c r="A592" s="2" t="inlineStr">
        <is>
          <t>m240114</t>
        </is>
      </c>
      <c r="B592" s="2">
        <f>IFERROR(VLOOKUP(A592,Students!$A:$B,2,FALSE),"")</f>
        <v/>
      </c>
      <c r="C592" s="2" t="inlineStr">
        <is>
          <t>Fall 2025</t>
        </is>
      </c>
      <c r="D592" s="2" t="inlineStr">
        <is>
          <t>Semester 3</t>
        </is>
      </c>
      <c r="E592" s="2" t="inlineStr">
        <is>
          <t>DES 210</t>
        </is>
      </c>
      <c r="F592" s="2">
        <f>IFERROR(VLOOKUP(E592,Courses!$A:$C,2,FALSE),"")</f>
        <v/>
      </c>
      <c r="G592" s="2">
        <f>IFERROR(VLOOKUP(E592,Courses!$A:$C,3,FALSE),0)</f>
        <v/>
      </c>
      <c r="H592" s="2" t="inlineStr">
        <is>
          <t>A-</t>
        </is>
      </c>
      <c r="I592" s="2" t="n">
        <v>91</v>
      </c>
      <c r="J592" s="2">
        <f>IFERROR(VLOOKUP(H592,'Grade Scale'!$A:$B,2,FALSE),0)</f>
        <v/>
      </c>
      <c r="K592" s="2">
        <f>J592*G592</f>
        <v/>
      </c>
      <c r="L592" s="2">
        <f>IF(H592="F",0,G592)</f>
        <v/>
      </c>
    </row>
    <row r="593">
      <c r="A593" s="2" t="inlineStr">
        <is>
          <t>m240114</t>
        </is>
      </c>
      <c r="B593" s="2">
        <f>IFERROR(VLOOKUP(A593,Students!$A:$B,2,FALSE),"")</f>
        <v/>
      </c>
      <c r="C593" s="2" t="inlineStr">
        <is>
          <t>Fall 2025</t>
        </is>
      </c>
      <c r="D593" s="2" t="inlineStr">
        <is>
          <t>Semester 3</t>
        </is>
      </c>
      <c r="E593" s="2" t="inlineStr">
        <is>
          <t>DES 220</t>
        </is>
      </c>
      <c r="F593" s="2">
        <f>IFERROR(VLOOKUP(E593,Courses!$A:$C,2,FALSE),"")</f>
        <v/>
      </c>
      <c r="G593" s="2">
        <f>IFERROR(VLOOKUP(E593,Courses!$A:$C,3,FALSE),0)</f>
        <v/>
      </c>
      <c r="H593" s="2" t="inlineStr">
        <is>
          <t>B</t>
        </is>
      </c>
      <c r="I593" s="2" t="n">
        <v>85</v>
      </c>
      <c r="J593" s="2">
        <f>IFERROR(VLOOKUP(H593,'Grade Scale'!$A:$B,2,FALSE),0)</f>
        <v/>
      </c>
      <c r="K593" s="2">
        <f>J593*G593</f>
        <v/>
      </c>
      <c r="L593" s="2">
        <f>IF(H593="F",0,G593)</f>
        <v/>
      </c>
    </row>
    <row r="594">
      <c r="A594" s="2" t="inlineStr">
        <is>
          <t>m240114</t>
        </is>
      </c>
      <c r="B594" s="2">
        <f>IFERROR(VLOOKUP(A594,Students!$A:$B,2,FALSE),"")</f>
        <v/>
      </c>
      <c r="C594" s="2" t="inlineStr">
        <is>
          <t>Fall 2025</t>
        </is>
      </c>
      <c r="D594" s="2" t="inlineStr">
        <is>
          <t>Semester 3</t>
        </is>
      </c>
      <c r="E594" s="2" t="inlineStr">
        <is>
          <t>DES 230</t>
        </is>
      </c>
      <c r="F594" s="2">
        <f>IFERROR(VLOOKUP(E594,Courses!$A:$C,2,FALSE),"")</f>
        <v/>
      </c>
      <c r="G594" s="2">
        <f>IFERROR(VLOOKUP(E594,Courses!$A:$C,3,FALSE),0)</f>
        <v/>
      </c>
      <c r="H594" s="2" t="inlineStr">
        <is>
          <t>C+</t>
        </is>
      </c>
      <c r="I594" s="2" t="n">
        <v>79</v>
      </c>
      <c r="J594" s="2">
        <f>IFERROR(VLOOKUP(H594,'Grade Scale'!$A:$B,2,FALSE),0)</f>
        <v/>
      </c>
      <c r="K594" s="2">
        <f>J594*G594</f>
        <v/>
      </c>
      <c r="L594" s="2">
        <f>IF(H594="F",0,G594)</f>
        <v/>
      </c>
    </row>
    <row r="595">
      <c r="A595" s="2" t="inlineStr">
        <is>
          <t>m240114</t>
        </is>
      </c>
      <c r="B595" s="2">
        <f>IFERROR(VLOOKUP(A595,Students!$A:$B,2,FALSE),"")</f>
        <v/>
      </c>
      <c r="C595" s="2" t="inlineStr">
        <is>
          <t>Fall 2025</t>
        </is>
      </c>
      <c r="D595" s="2" t="inlineStr">
        <is>
          <t>Semester 3</t>
        </is>
      </c>
      <c r="E595" s="2" t="inlineStr">
        <is>
          <t>DES 240</t>
        </is>
      </c>
      <c r="F595" s="2">
        <f>IFERROR(VLOOKUP(E595,Courses!$A:$C,2,FALSE),"")</f>
        <v/>
      </c>
      <c r="G595" s="2">
        <f>IFERROR(VLOOKUP(E595,Courses!$A:$C,3,FALSE),0)</f>
        <v/>
      </c>
      <c r="H595" s="2" t="inlineStr">
        <is>
          <t>B-</t>
        </is>
      </c>
      <c r="I595" s="2" t="n">
        <v>80</v>
      </c>
      <c r="J595" s="2">
        <f>IFERROR(VLOOKUP(H595,'Grade Scale'!$A:$B,2,FALSE),0)</f>
        <v/>
      </c>
      <c r="K595" s="2">
        <f>J595*G595</f>
        <v/>
      </c>
      <c r="L595" s="2">
        <f>IF(H595="F",0,G595)</f>
        <v/>
      </c>
    </row>
    <row r="596">
      <c r="A596" s="2" t="inlineStr">
        <is>
          <t>m240114</t>
        </is>
      </c>
      <c r="B596" s="2">
        <f>IFERROR(VLOOKUP(A596,Students!$A:$B,2,FALSE),"")</f>
        <v/>
      </c>
      <c r="C596" s="2" t="inlineStr">
        <is>
          <t>Fall 2025</t>
        </is>
      </c>
      <c r="D596" s="2" t="inlineStr">
        <is>
          <t>Semester 3</t>
        </is>
      </c>
      <c r="E596" s="2" t="inlineStr">
        <is>
          <t>DES 250</t>
        </is>
      </c>
      <c r="F596" s="2">
        <f>IFERROR(VLOOKUP(E596,Courses!$A:$C,2,FALSE),"")</f>
        <v/>
      </c>
      <c r="G596" s="2">
        <f>IFERROR(VLOOKUP(E596,Courses!$A:$C,3,FALSE),0)</f>
        <v/>
      </c>
      <c r="H596" s="2" t="inlineStr">
        <is>
          <t>B+</t>
        </is>
      </c>
      <c r="I596" s="2" t="n">
        <v>89</v>
      </c>
      <c r="J596" s="2">
        <f>IFERROR(VLOOKUP(H596,'Grade Scale'!$A:$B,2,FALSE),0)</f>
        <v/>
      </c>
      <c r="K596" s="2">
        <f>J596*G596</f>
        <v/>
      </c>
      <c r="L596" s="2">
        <f>IF(H596="F",0,G596)</f>
        <v/>
      </c>
    </row>
    <row r="597">
      <c r="A597" s="2" t="inlineStr">
        <is>
          <t>m240114</t>
        </is>
      </c>
      <c r="B597" s="2">
        <f>IFERROR(VLOOKUP(A597,Students!$A:$B,2,FALSE),"")</f>
        <v/>
      </c>
      <c r="C597" s="2" t="inlineStr">
        <is>
          <t>Spring 2026</t>
        </is>
      </c>
      <c r="D597" s="2" t="inlineStr">
        <is>
          <t>Semester 4</t>
        </is>
      </c>
      <c r="E597" s="2" t="inlineStr">
        <is>
          <t>DES 260</t>
        </is>
      </c>
      <c r="F597" s="2">
        <f>IFERROR(VLOOKUP(E597,Courses!$A:$C,2,FALSE),"")</f>
        <v/>
      </c>
      <c r="G597" s="2">
        <f>IFERROR(VLOOKUP(E597,Courses!$A:$C,3,FALSE),0)</f>
        <v/>
      </c>
      <c r="H597" s="2" t="inlineStr">
        <is>
          <t>A-</t>
        </is>
      </c>
      <c r="I597" s="2" t="n">
        <v>91</v>
      </c>
      <c r="J597" s="2">
        <f>IFERROR(VLOOKUP(H597,'Grade Scale'!$A:$B,2,FALSE),0)</f>
        <v/>
      </c>
      <c r="K597" s="2">
        <f>J597*G597</f>
        <v/>
      </c>
      <c r="L597" s="2">
        <f>IF(H597="F",0,G597)</f>
        <v/>
      </c>
    </row>
    <row r="598">
      <c r="A598" s="2" t="inlineStr">
        <is>
          <t>m240114</t>
        </is>
      </c>
      <c r="B598" s="2">
        <f>IFERROR(VLOOKUP(A598,Students!$A:$B,2,FALSE),"")</f>
        <v/>
      </c>
      <c r="C598" s="2" t="inlineStr">
        <is>
          <t>Spring 2026</t>
        </is>
      </c>
      <c r="D598" s="2" t="inlineStr">
        <is>
          <t>Semester 4</t>
        </is>
      </c>
      <c r="E598" s="2" t="inlineStr">
        <is>
          <t>DES 270</t>
        </is>
      </c>
      <c r="F598" s="2">
        <f>IFERROR(VLOOKUP(E598,Courses!$A:$C,2,FALSE),"")</f>
        <v/>
      </c>
      <c r="G598" s="2">
        <f>IFERROR(VLOOKUP(E598,Courses!$A:$C,3,FALSE),0)</f>
        <v/>
      </c>
      <c r="H598" s="2" t="inlineStr">
        <is>
          <t>A</t>
        </is>
      </c>
      <c r="I598" s="2" t="n">
        <v>95</v>
      </c>
      <c r="J598" s="2">
        <f>IFERROR(VLOOKUP(H598,'Grade Scale'!$A:$B,2,FALSE),0)</f>
        <v/>
      </c>
      <c r="K598" s="2">
        <f>J598*G598</f>
        <v/>
      </c>
      <c r="L598" s="2">
        <f>IF(H598="F",0,G598)</f>
        <v/>
      </c>
    </row>
    <row r="599">
      <c r="A599" s="2" t="inlineStr">
        <is>
          <t>m240114</t>
        </is>
      </c>
      <c r="B599" s="2">
        <f>IFERROR(VLOOKUP(A599,Students!$A:$B,2,FALSE),"")</f>
        <v/>
      </c>
      <c r="C599" s="2" t="inlineStr">
        <is>
          <t>Spring 2026</t>
        </is>
      </c>
      <c r="D599" s="2" t="inlineStr">
        <is>
          <t>Semester 4</t>
        </is>
      </c>
      <c r="E599" s="2" t="inlineStr">
        <is>
          <t>DES 280</t>
        </is>
      </c>
      <c r="F599" s="2">
        <f>IFERROR(VLOOKUP(E599,Courses!$A:$C,2,FALSE),"")</f>
        <v/>
      </c>
      <c r="G599" s="2">
        <f>IFERROR(VLOOKUP(E599,Courses!$A:$C,3,FALSE),0)</f>
        <v/>
      </c>
      <c r="H599" s="2" t="inlineStr">
        <is>
          <t>B</t>
        </is>
      </c>
      <c r="I599" s="2" t="n">
        <v>84</v>
      </c>
      <c r="J599" s="2">
        <f>IFERROR(VLOOKUP(H599,'Grade Scale'!$A:$B,2,FALSE),0)</f>
        <v/>
      </c>
      <c r="K599" s="2">
        <f>J599*G599</f>
        <v/>
      </c>
      <c r="L599" s="2">
        <f>IF(H599="F",0,G599)</f>
        <v/>
      </c>
    </row>
    <row r="600">
      <c r="A600" s="2" t="inlineStr">
        <is>
          <t>m240114</t>
        </is>
      </c>
      <c r="B600" s="2">
        <f>IFERROR(VLOOKUP(A600,Students!$A:$B,2,FALSE),"")</f>
        <v/>
      </c>
      <c r="C600" s="2" t="inlineStr">
        <is>
          <t>Spring 2026</t>
        </is>
      </c>
      <c r="D600" s="2" t="inlineStr">
        <is>
          <t>Semester 4</t>
        </is>
      </c>
      <c r="E600" s="2" t="inlineStr">
        <is>
          <t>DES 290</t>
        </is>
      </c>
      <c r="F600" s="2">
        <f>IFERROR(VLOOKUP(E600,Courses!$A:$C,2,FALSE),"")</f>
        <v/>
      </c>
      <c r="G600" s="2">
        <f>IFERROR(VLOOKUP(E600,Courses!$A:$C,3,FALSE),0)</f>
        <v/>
      </c>
      <c r="H600" s="2" t="inlineStr">
        <is>
          <t>A-</t>
        </is>
      </c>
      <c r="I600" s="2" t="n">
        <v>92</v>
      </c>
      <c r="J600" s="2">
        <f>IFERROR(VLOOKUP(H600,'Grade Scale'!$A:$B,2,FALSE),0)</f>
        <v/>
      </c>
      <c r="K600" s="2">
        <f>J600*G600</f>
        <v/>
      </c>
      <c r="L600" s="2">
        <f>IF(H600="F",0,G600)</f>
        <v/>
      </c>
    </row>
    <row r="601">
      <c r="A601" s="2" t="inlineStr">
        <is>
          <t>m240114</t>
        </is>
      </c>
      <c r="B601" s="2">
        <f>IFERROR(VLOOKUP(A601,Students!$A:$B,2,FALSE),"")</f>
        <v/>
      </c>
      <c r="C601" s="2" t="inlineStr">
        <is>
          <t>Spring 2026</t>
        </is>
      </c>
      <c r="D601" s="2" t="inlineStr">
        <is>
          <t>Semester 4</t>
        </is>
      </c>
      <c r="E601" s="2" t="inlineStr">
        <is>
          <t>ART 210</t>
        </is>
      </c>
      <c r="F601" s="2">
        <f>IFERROR(VLOOKUP(E601,Courses!$A:$C,2,FALSE),"")</f>
        <v/>
      </c>
      <c r="G601" s="2">
        <f>IFERROR(VLOOKUP(E601,Courses!$A:$C,3,FALSE),0)</f>
        <v/>
      </c>
      <c r="H601" s="2" t="inlineStr">
        <is>
          <t>A</t>
        </is>
      </c>
      <c r="I601" s="2" t="n">
        <v>93</v>
      </c>
      <c r="J601" s="2">
        <f>IFERROR(VLOOKUP(H601,'Grade Scale'!$A:$B,2,FALSE),0)</f>
        <v/>
      </c>
      <c r="K601" s="2">
        <f>J601*G601</f>
        <v/>
      </c>
      <c r="L601" s="2">
        <f>IF(H601="F",0,G601)</f>
        <v/>
      </c>
    </row>
    <row r="602">
      <c r="A602" s="2" t="inlineStr">
        <is>
          <t>m250216</t>
        </is>
      </c>
      <c r="B602" s="2">
        <f>IFERROR(VLOOKUP(A602,Students!$A:$B,2,FALSE),"")</f>
        <v/>
      </c>
      <c r="C602" s="2" t="inlineStr">
        <is>
          <t>Spring 2025</t>
        </is>
      </c>
      <c r="D602" s="2" t="inlineStr">
        <is>
          <t>Semester 1</t>
        </is>
      </c>
      <c r="E602" s="2" t="inlineStr">
        <is>
          <t>TAM 530</t>
        </is>
      </c>
      <c r="F602" s="2">
        <f>IFERROR(VLOOKUP(E602,Courses!$A:$C,2,FALSE),"")</f>
        <v/>
      </c>
      <c r="G602" s="2">
        <f>IFERROR(VLOOKUP(E602,Courses!$A:$C,3,FALSE),0)</f>
        <v/>
      </c>
      <c r="H602" s="2" t="inlineStr">
        <is>
          <t>B</t>
        </is>
      </c>
      <c r="I602" s="2" t="n">
        <v>84</v>
      </c>
      <c r="J602" s="2">
        <f>IFERROR(VLOOKUP(H602,'Grade Scale'!$A:$B,2,FALSE),0)</f>
        <v/>
      </c>
      <c r="K602" s="2">
        <f>J602*G602</f>
        <v/>
      </c>
      <c r="L602" s="2">
        <f>IF(H602="F",0,G602)</f>
        <v/>
      </c>
    </row>
    <row r="603">
      <c r="A603" s="2" t="inlineStr">
        <is>
          <t>m250216</t>
        </is>
      </c>
      <c r="B603" s="2">
        <f>IFERROR(VLOOKUP(A603,Students!$A:$B,2,FALSE),"")</f>
        <v/>
      </c>
      <c r="C603" s="2" t="inlineStr">
        <is>
          <t>Spring 2025</t>
        </is>
      </c>
      <c r="D603" s="2" t="inlineStr">
        <is>
          <t>Semester 1</t>
        </is>
      </c>
      <c r="E603" s="2" t="inlineStr">
        <is>
          <t>TGM 586</t>
        </is>
      </c>
      <c r="F603" s="2">
        <f>IFERROR(VLOOKUP(E603,Courses!$A:$C,2,FALSE),"")</f>
        <v/>
      </c>
      <c r="G603" s="2">
        <f>IFERROR(VLOOKUP(E603,Courses!$A:$C,3,FALSE),0)</f>
        <v/>
      </c>
      <c r="H603" s="2" t="inlineStr">
        <is>
          <t>B</t>
        </is>
      </c>
      <c r="I603" s="2" t="n">
        <v>83</v>
      </c>
      <c r="J603" s="2">
        <f>IFERROR(VLOOKUP(H603,'Grade Scale'!$A:$B,2,FALSE),0)</f>
        <v/>
      </c>
      <c r="K603" s="2">
        <f>J603*G603</f>
        <v/>
      </c>
      <c r="L603" s="2">
        <f>IF(H603="F",0,G603)</f>
        <v/>
      </c>
    </row>
    <row r="604">
      <c r="A604" s="2" t="inlineStr">
        <is>
          <t>m250216</t>
        </is>
      </c>
      <c r="B604" s="2">
        <f>IFERROR(VLOOKUP(A604,Students!$A:$B,2,FALSE),"")</f>
        <v/>
      </c>
      <c r="C604" s="2" t="inlineStr">
        <is>
          <t>Spring 2025</t>
        </is>
      </c>
      <c r="D604" s="2" t="inlineStr">
        <is>
          <t>Semester 1</t>
        </is>
      </c>
      <c r="E604" s="2" t="inlineStr">
        <is>
          <t>TAM 557</t>
        </is>
      </c>
      <c r="F604" s="2">
        <f>IFERROR(VLOOKUP(E604,Courses!$A:$C,2,FALSE),"")</f>
        <v/>
      </c>
      <c r="G604" s="2">
        <f>IFERROR(VLOOKUP(E604,Courses!$A:$C,3,FALSE),0)</f>
        <v/>
      </c>
      <c r="H604" s="2" t="inlineStr">
        <is>
          <t>B</t>
        </is>
      </c>
      <c r="I604" s="2" t="n">
        <v>84</v>
      </c>
      <c r="J604" s="2">
        <f>IFERROR(VLOOKUP(H604,'Grade Scale'!$A:$B,2,FALSE),0)</f>
        <v/>
      </c>
      <c r="K604" s="2">
        <f>J604*G604</f>
        <v/>
      </c>
      <c r="L604" s="2">
        <f>IF(H604="F",0,G604)</f>
        <v/>
      </c>
    </row>
    <row r="605">
      <c r="A605" s="2" t="inlineStr">
        <is>
          <t>m250216</t>
        </is>
      </c>
      <c r="B605" s="2">
        <f>IFERROR(VLOOKUP(A605,Students!$A:$B,2,FALSE),"")</f>
        <v/>
      </c>
      <c r="C605" s="2" t="inlineStr">
        <is>
          <t>Spring 2025</t>
        </is>
      </c>
      <c r="D605" s="2" t="inlineStr">
        <is>
          <t>Semester 1</t>
        </is>
      </c>
      <c r="E605" s="2" t="inlineStr">
        <is>
          <t>TAM 542</t>
        </is>
      </c>
      <c r="F605" s="2">
        <f>IFERROR(VLOOKUP(E605,Courses!$A:$C,2,FALSE),"")</f>
        <v/>
      </c>
      <c r="G605" s="2">
        <f>IFERROR(VLOOKUP(E605,Courses!$A:$C,3,FALSE),0)</f>
        <v/>
      </c>
      <c r="H605" s="2" t="inlineStr">
        <is>
          <t>B</t>
        </is>
      </c>
      <c r="I605" s="2" t="n">
        <v>84</v>
      </c>
      <c r="J605" s="2">
        <f>IFERROR(VLOOKUP(H605,'Grade Scale'!$A:$B,2,FALSE),0)</f>
        <v/>
      </c>
      <c r="K605" s="2">
        <f>J605*G605</f>
        <v/>
      </c>
      <c r="L605" s="2">
        <f>IF(H605="F",0,G605)</f>
        <v/>
      </c>
    </row>
    <row r="606">
      <c r="A606" s="2" t="inlineStr">
        <is>
          <t>m250216</t>
        </is>
      </c>
      <c r="B606" s="2">
        <f>IFERROR(VLOOKUP(A606,Students!$A:$B,2,FALSE),"")</f>
        <v/>
      </c>
      <c r="C606" s="2" t="inlineStr">
        <is>
          <t>Spring 2025</t>
        </is>
      </c>
      <c r="D606" s="2" t="inlineStr">
        <is>
          <t>Semester 1</t>
        </is>
      </c>
      <c r="E606" s="2" t="inlineStr">
        <is>
          <t>TAM 511</t>
        </is>
      </c>
      <c r="F606" s="2">
        <f>IFERROR(VLOOKUP(E606,Courses!$A:$C,2,FALSE),"")</f>
        <v/>
      </c>
      <c r="G606" s="2">
        <f>IFERROR(VLOOKUP(E606,Courses!$A:$C,3,FALSE),0)</f>
        <v/>
      </c>
      <c r="H606" s="2" t="inlineStr">
        <is>
          <t>B+</t>
        </is>
      </c>
      <c r="I606" s="2" t="n">
        <v>89</v>
      </c>
      <c r="J606" s="2">
        <f>IFERROR(VLOOKUP(H606,'Grade Scale'!$A:$B,2,FALSE),0)</f>
        <v/>
      </c>
      <c r="K606" s="2">
        <f>J606*G606</f>
        <v/>
      </c>
      <c r="L606" s="2">
        <f>IF(H606="F",0,G606)</f>
        <v/>
      </c>
    </row>
    <row r="607">
      <c r="A607" s="2" t="inlineStr">
        <is>
          <t>m250216</t>
        </is>
      </c>
      <c r="B607" s="2">
        <f>IFERROR(VLOOKUP(A607,Students!$A:$B,2,FALSE),"")</f>
        <v/>
      </c>
      <c r="C607" s="2" t="inlineStr">
        <is>
          <t>Fall 2025</t>
        </is>
      </c>
      <c r="D607" s="2" t="inlineStr">
        <is>
          <t>Semester 2</t>
        </is>
      </c>
      <c r="E607" s="2" t="inlineStr">
        <is>
          <t>IAL 503</t>
        </is>
      </c>
      <c r="F607" s="2">
        <f>IFERROR(VLOOKUP(E607,Courses!$A:$C,2,FALSE),"")</f>
        <v/>
      </c>
      <c r="G607" s="2">
        <f>IFERROR(VLOOKUP(E607,Courses!$A:$C,3,FALSE),0)</f>
        <v/>
      </c>
      <c r="H607" s="2" t="inlineStr">
        <is>
          <t>C-</t>
        </is>
      </c>
      <c r="I607" s="2" t="n">
        <v>71</v>
      </c>
      <c r="J607" s="2">
        <f>IFERROR(VLOOKUP(H607,'Grade Scale'!$A:$B,2,FALSE),0)</f>
        <v/>
      </c>
      <c r="K607" s="2">
        <f>J607*G607</f>
        <v/>
      </c>
      <c r="L607" s="2">
        <f>IF(H607="F",0,G607)</f>
        <v/>
      </c>
    </row>
    <row r="608">
      <c r="A608" s="2" t="inlineStr">
        <is>
          <t>m250216</t>
        </is>
      </c>
      <c r="B608" s="2">
        <f>IFERROR(VLOOKUP(A608,Students!$A:$B,2,FALSE),"")</f>
        <v/>
      </c>
      <c r="C608" s="2" t="inlineStr">
        <is>
          <t>Fall 2025</t>
        </is>
      </c>
      <c r="D608" s="2" t="inlineStr">
        <is>
          <t>Semester 2</t>
        </is>
      </c>
      <c r="E608" s="2" t="inlineStr">
        <is>
          <t>FIN 560</t>
        </is>
      </c>
      <c r="F608" s="2">
        <f>IFERROR(VLOOKUP(E608,Courses!$A:$C,2,FALSE),"")</f>
        <v/>
      </c>
      <c r="G608" s="2">
        <f>IFERROR(VLOOKUP(E608,Courses!$A:$C,3,FALSE),0)</f>
        <v/>
      </c>
      <c r="H608" s="2" t="inlineStr">
        <is>
          <t>B+</t>
        </is>
      </c>
      <c r="I608" s="2" t="n">
        <v>87</v>
      </c>
      <c r="J608" s="2">
        <f>IFERROR(VLOOKUP(H608,'Grade Scale'!$A:$B,2,FALSE),0)</f>
        <v/>
      </c>
      <c r="K608" s="2">
        <f>J608*G608</f>
        <v/>
      </c>
      <c r="L608" s="2">
        <f>IF(H608="F",0,G608)</f>
        <v/>
      </c>
    </row>
    <row r="609">
      <c r="A609" s="2" t="inlineStr">
        <is>
          <t>m250216</t>
        </is>
      </c>
      <c r="B609" s="2">
        <f>IFERROR(VLOOKUP(A609,Students!$A:$B,2,FALSE),"")</f>
        <v/>
      </c>
      <c r="C609" s="2" t="inlineStr">
        <is>
          <t>Fall 2025</t>
        </is>
      </c>
      <c r="D609" s="2" t="inlineStr">
        <is>
          <t>Semester 2</t>
        </is>
      </c>
      <c r="E609" s="2" t="inlineStr">
        <is>
          <t>TGM 551</t>
        </is>
      </c>
      <c r="F609" s="2">
        <f>IFERROR(VLOOKUP(E609,Courses!$A:$C,2,FALSE),"")</f>
        <v/>
      </c>
      <c r="G609" s="2">
        <f>IFERROR(VLOOKUP(E609,Courses!$A:$C,3,FALSE),0)</f>
        <v/>
      </c>
      <c r="H609" s="2" t="inlineStr">
        <is>
          <t>B+</t>
        </is>
      </c>
      <c r="I609" s="2" t="n">
        <v>89</v>
      </c>
      <c r="J609" s="2">
        <f>IFERROR(VLOOKUP(H609,'Grade Scale'!$A:$B,2,FALSE),0)</f>
        <v/>
      </c>
      <c r="K609" s="2">
        <f>J609*G609</f>
        <v/>
      </c>
      <c r="L609" s="2">
        <f>IF(H609="F",0,G609)</f>
        <v/>
      </c>
    </row>
    <row r="610">
      <c r="A610" s="2" t="inlineStr">
        <is>
          <t>m250216</t>
        </is>
      </c>
      <c r="B610" s="2">
        <f>IFERROR(VLOOKUP(A610,Students!$A:$B,2,FALSE),"")</f>
        <v/>
      </c>
      <c r="C610" s="2" t="inlineStr">
        <is>
          <t>Fall 2025</t>
        </is>
      </c>
      <c r="D610" s="2" t="inlineStr">
        <is>
          <t>Semester 2</t>
        </is>
      </c>
      <c r="E610" s="2" t="inlineStr">
        <is>
          <t>TAM 505</t>
        </is>
      </c>
      <c r="F610" s="2">
        <f>IFERROR(VLOOKUP(E610,Courses!$A:$C,2,FALSE),"")</f>
        <v/>
      </c>
      <c r="G610" s="2">
        <f>IFERROR(VLOOKUP(E610,Courses!$A:$C,3,FALSE),0)</f>
        <v/>
      </c>
      <c r="H610" s="2" t="inlineStr">
        <is>
          <t>B-</t>
        </is>
      </c>
      <c r="I610" s="2" t="n">
        <v>80</v>
      </c>
      <c r="J610" s="2">
        <f>IFERROR(VLOOKUP(H610,'Grade Scale'!$A:$B,2,FALSE),0)</f>
        <v/>
      </c>
      <c r="K610" s="2">
        <f>J610*G610</f>
        <v/>
      </c>
      <c r="L610" s="2">
        <f>IF(H610="F",0,G610)</f>
        <v/>
      </c>
    </row>
    <row r="611">
      <c r="A611" s="2" t="inlineStr">
        <is>
          <t>m250216</t>
        </is>
      </c>
      <c r="B611" s="2">
        <f>IFERROR(VLOOKUP(A611,Students!$A:$B,2,FALSE),"")</f>
        <v/>
      </c>
      <c r="C611" s="2" t="inlineStr">
        <is>
          <t>Fall 2025</t>
        </is>
      </c>
      <c r="D611" s="2" t="inlineStr">
        <is>
          <t>Semester 2</t>
        </is>
      </c>
      <c r="E611" s="2" t="inlineStr">
        <is>
          <t>TGM 507</t>
        </is>
      </c>
      <c r="F611" s="2">
        <f>IFERROR(VLOOKUP(E611,Courses!$A:$C,2,FALSE),"")</f>
        <v/>
      </c>
      <c r="G611" s="2">
        <f>IFERROR(VLOOKUP(E611,Courses!$A:$C,3,FALSE),0)</f>
        <v/>
      </c>
      <c r="H611" s="2" t="inlineStr">
        <is>
          <t>B</t>
        </is>
      </c>
      <c r="I611" s="2" t="n">
        <v>84</v>
      </c>
      <c r="J611" s="2">
        <f>IFERROR(VLOOKUP(H611,'Grade Scale'!$A:$B,2,FALSE),0)</f>
        <v/>
      </c>
      <c r="K611" s="2">
        <f>J611*G611</f>
        <v/>
      </c>
      <c r="L611" s="2">
        <f>IF(H611="F",0,G611)</f>
        <v/>
      </c>
    </row>
    <row r="612">
      <c r="A612" s="2" t="inlineStr">
        <is>
          <t>m250216</t>
        </is>
      </c>
      <c r="B612" s="2">
        <f>IFERROR(VLOOKUP(A612,Students!$A:$B,2,FALSE),"")</f>
        <v/>
      </c>
      <c r="C612" s="2" t="inlineStr">
        <is>
          <t>Spring 2026</t>
        </is>
      </c>
      <c r="D612" s="2" t="inlineStr">
        <is>
          <t>Semester 3</t>
        </is>
      </c>
      <c r="E612" s="2" t="inlineStr">
        <is>
          <t>TGM 610</t>
        </is>
      </c>
      <c r="F612" s="2">
        <f>IFERROR(VLOOKUP(E612,Courses!$A:$C,2,FALSE),"")</f>
        <v/>
      </c>
      <c r="G612" s="2">
        <f>IFERROR(VLOOKUP(E612,Courses!$A:$C,3,FALSE),0)</f>
        <v/>
      </c>
      <c r="H612" s="2" t="inlineStr">
        <is>
          <t>B-</t>
        </is>
      </c>
      <c r="I612" s="2" t="n">
        <v>81</v>
      </c>
      <c r="J612" s="2">
        <f>IFERROR(VLOOKUP(H612,'Grade Scale'!$A:$B,2,FALSE),0)</f>
        <v/>
      </c>
      <c r="K612" s="2">
        <f>J612*G612</f>
        <v/>
      </c>
      <c r="L612" s="2">
        <f>IF(H612="F",0,G612)</f>
        <v/>
      </c>
    </row>
    <row r="613">
      <c r="A613" s="2" t="inlineStr">
        <is>
          <t>m250216</t>
        </is>
      </c>
      <c r="B613" s="2">
        <f>IFERROR(VLOOKUP(A613,Students!$A:$B,2,FALSE),"")</f>
        <v/>
      </c>
      <c r="C613" s="2" t="inlineStr">
        <is>
          <t>Spring 2026</t>
        </is>
      </c>
      <c r="D613" s="2" t="inlineStr">
        <is>
          <t>Semester 3</t>
        </is>
      </c>
      <c r="E613" s="2" t="inlineStr">
        <is>
          <t>TGM 622</t>
        </is>
      </c>
      <c r="F613" s="2">
        <f>IFERROR(VLOOKUP(E613,Courses!$A:$C,2,FALSE),"")</f>
        <v/>
      </c>
      <c r="G613" s="2">
        <f>IFERROR(VLOOKUP(E613,Courses!$A:$C,3,FALSE),0)</f>
        <v/>
      </c>
      <c r="H613" s="2" t="inlineStr">
        <is>
          <t>B</t>
        </is>
      </c>
      <c r="I613" s="2" t="n">
        <v>86</v>
      </c>
      <c r="J613" s="2">
        <f>IFERROR(VLOOKUP(H613,'Grade Scale'!$A:$B,2,FALSE),0)</f>
        <v/>
      </c>
      <c r="K613" s="2">
        <f>J613*G613</f>
        <v/>
      </c>
      <c r="L613" s="2">
        <f>IF(H613="F",0,G613)</f>
        <v/>
      </c>
    </row>
    <row r="614">
      <c r="A614" s="2" t="inlineStr">
        <is>
          <t>m250216</t>
        </is>
      </c>
      <c r="B614" s="2">
        <f>IFERROR(VLOOKUP(A614,Students!$A:$B,2,FALSE),"")</f>
        <v/>
      </c>
      <c r="C614" s="2" t="inlineStr">
        <is>
          <t>Spring 2026</t>
        </is>
      </c>
      <c r="D614" s="2" t="inlineStr">
        <is>
          <t>Semester 3</t>
        </is>
      </c>
      <c r="E614" s="2" t="inlineStr">
        <is>
          <t>TAM 615</t>
        </is>
      </c>
      <c r="F614" s="2">
        <f>IFERROR(VLOOKUP(E614,Courses!$A:$C,2,FALSE),"")</f>
        <v/>
      </c>
      <c r="G614" s="2">
        <f>IFERROR(VLOOKUP(E614,Courses!$A:$C,3,FALSE),0)</f>
        <v/>
      </c>
      <c r="H614" s="2" t="inlineStr">
        <is>
          <t>B+</t>
        </is>
      </c>
      <c r="I614" s="2" t="n">
        <v>89</v>
      </c>
      <c r="J614" s="2">
        <f>IFERROR(VLOOKUP(H614,'Grade Scale'!$A:$B,2,FALSE),0)</f>
        <v/>
      </c>
      <c r="K614" s="2">
        <f>J614*G614</f>
        <v/>
      </c>
      <c r="L614" s="2">
        <f>IF(H614="F",0,G614)</f>
        <v/>
      </c>
    </row>
    <row r="615">
      <c r="A615" s="2" t="inlineStr">
        <is>
          <t>m250216</t>
        </is>
      </c>
      <c r="B615" s="2">
        <f>IFERROR(VLOOKUP(A615,Students!$A:$B,2,FALSE),"")</f>
        <v/>
      </c>
      <c r="C615" s="2" t="inlineStr">
        <is>
          <t>Spring 2026</t>
        </is>
      </c>
      <c r="D615" s="2" t="inlineStr">
        <is>
          <t>Semester 3</t>
        </is>
      </c>
      <c r="E615" s="2" t="inlineStr">
        <is>
          <t>TGM 630</t>
        </is>
      </c>
      <c r="F615" s="2">
        <f>IFERROR(VLOOKUP(E615,Courses!$A:$C,2,FALSE),"")</f>
        <v/>
      </c>
      <c r="G615" s="2">
        <f>IFERROR(VLOOKUP(E615,Courses!$A:$C,3,FALSE),0)</f>
        <v/>
      </c>
      <c r="H615" s="2" t="inlineStr">
        <is>
          <t>B</t>
        </is>
      </c>
      <c r="I615" s="2" t="n">
        <v>86</v>
      </c>
      <c r="J615" s="2">
        <f>IFERROR(VLOOKUP(H615,'Grade Scale'!$A:$B,2,FALSE),0)</f>
        <v/>
      </c>
      <c r="K615" s="2">
        <f>J615*G615</f>
        <v/>
      </c>
      <c r="L615" s="2">
        <f>IF(H615="F",0,G615)</f>
        <v/>
      </c>
    </row>
    <row r="616">
      <c r="A616" s="2" t="inlineStr">
        <is>
          <t>m250216</t>
        </is>
      </c>
      <c r="B616" s="2">
        <f>IFERROR(VLOOKUP(A616,Students!$A:$B,2,FALSE),"")</f>
        <v/>
      </c>
      <c r="C616" s="2" t="inlineStr">
        <is>
          <t>Spring 2026</t>
        </is>
      </c>
      <c r="D616" s="2" t="inlineStr">
        <is>
          <t>Semester 3</t>
        </is>
      </c>
      <c r="E616" s="2" t="inlineStr">
        <is>
          <t>TGM 690</t>
        </is>
      </c>
      <c r="F616" s="2">
        <f>IFERROR(VLOOKUP(E616,Courses!$A:$C,2,FALSE),"")</f>
        <v/>
      </c>
      <c r="G616" s="2">
        <f>IFERROR(VLOOKUP(E616,Courses!$A:$C,3,FALSE),0)</f>
        <v/>
      </c>
      <c r="H616" s="2" t="inlineStr">
        <is>
          <t>A-</t>
        </is>
      </c>
      <c r="I616" s="2" t="n">
        <v>90</v>
      </c>
      <c r="J616" s="2">
        <f>IFERROR(VLOOKUP(H616,'Grade Scale'!$A:$B,2,FALSE),0)</f>
        <v/>
      </c>
      <c r="K616" s="2">
        <f>J616*G616</f>
        <v/>
      </c>
      <c r="L616" s="2">
        <f>IF(H616="F",0,G616)</f>
        <v/>
      </c>
    </row>
    <row r="617">
      <c r="A617" s="2" t="inlineStr">
        <is>
          <t>m250312</t>
        </is>
      </c>
      <c r="B617" s="2">
        <f>IFERROR(VLOOKUP(A617,Students!$A:$B,2,FALSE),"")</f>
        <v/>
      </c>
      <c r="C617" s="2" t="inlineStr">
        <is>
          <t>Fall 2025</t>
        </is>
      </c>
      <c r="D617" s="2" t="inlineStr">
        <is>
          <t>Semester 1</t>
        </is>
      </c>
      <c r="E617" s="2" t="inlineStr">
        <is>
          <t>MBA 501</t>
        </is>
      </c>
      <c r="F617" s="2">
        <f>IFERROR(VLOOKUP(E617,Courses!$A:$C,2,FALSE),"")</f>
        <v/>
      </c>
      <c r="G617" s="2">
        <f>IFERROR(VLOOKUP(E617,Courses!$A:$C,3,FALSE),0)</f>
        <v/>
      </c>
      <c r="H617" s="2" t="inlineStr">
        <is>
          <t>B-</t>
        </is>
      </c>
      <c r="I617" s="2" t="n">
        <v>81</v>
      </c>
      <c r="J617" s="2">
        <f>IFERROR(VLOOKUP(H617,'Grade Scale'!$A:$B,2,FALSE),0)</f>
        <v/>
      </c>
      <c r="K617" s="2">
        <f>J617*G617</f>
        <v/>
      </c>
      <c r="L617" s="2">
        <f>IF(H617="F",0,G617)</f>
        <v/>
      </c>
    </row>
    <row r="618">
      <c r="A618" s="2" t="inlineStr">
        <is>
          <t>m250312</t>
        </is>
      </c>
      <c r="B618" s="2">
        <f>IFERROR(VLOOKUP(A618,Students!$A:$B,2,FALSE),"")</f>
        <v/>
      </c>
      <c r="C618" s="2" t="inlineStr">
        <is>
          <t>Fall 2025</t>
        </is>
      </c>
      <c r="D618" s="2" t="inlineStr">
        <is>
          <t>Semester 1</t>
        </is>
      </c>
      <c r="E618" s="2" t="inlineStr">
        <is>
          <t>MBA 510</t>
        </is>
      </c>
      <c r="F618" s="2">
        <f>IFERROR(VLOOKUP(E618,Courses!$A:$C,2,FALSE),"")</f>
        <v/>
      </c>
      <c r="G618" s="2">
        <f>IFERROR(VLOOKUP(E618,Courses!$A:$C,3,FALSE),0)</f>
        <v/>
      </c>
      <c r="H618" s="2" t="inlineStr">
        <is>
          <t>D</t>
        </is>
      </c>
      <c r="I618" s="2" t="n">
        <v>66</v>
      </c>
      <c r="J618" s="2">
        <f>IFERROR(VLOOKUP(H618,'Grade Scale'!$A:$B,2,FALSE),0)</f>
        <v/>
      </c>
      <c r="K618" s="2">
        <f>J618*G618</f>
        <v/>
      </c>
      <c r="L618" s="2">
        <f>IF(H618="F",0,G618)</f>
        <v/>
      </c>
    </row>
    <row r="619">
      <c r="A619" s="2" t="inlineStr">
        <is>
          <t>m250312</t>
        </is>
      </c>
      <c r="B619" s="2">
        <f>IFERROR(VLOOKUP(A619,Students!$A:$B,2,FALSE),"")</f>
        <v/>
      </c>
      <c r="C619" s="2" t="inlineStr">
        <is>
          <t>Fall 2025</t>
        </is>
      </c>
      <c r="D619" s="2" t="inlineStr">
        <is>
          <t>Semester 1</t>
        </is>
      </c>
      <c r="E619" s="2" t="inlineStr">
        <is>
          <t>MBA 520</t>
        </is>
      </c>
      <c r="F619" s="2">
        <f>IFERROR(VLOOKUP(E619,Courses!$A:$C,2,FALSE),"")</f>
        <v/>
      </c>
      <c r="G619" s="2">
        <f>IFERROR(VLOOKUP(E619,Courses!$A:$C,3,FALSE),0)</f>
        <v/>
      </c>
      <c r="H619" s="2" t="inlineStr">
        <is>
          <t>C</t>
        </is>
      </c>
      <c r="I619" s="2" t="n">
        <v>74</v>
      </c>
      <c r="J619" s="2">
        <f>IFERROR(VLOOKUP(H619,'Grade Scale'!$A:$B,2,FALSE),0)</f>
        <v/>
      </c>
      <c r="K619" s="2">
        <f>J619*G619</f>
        <v/>
      </c>
      <c r="L619" s="2">
        <f>IF(H619="F",0,G619)</f>
        <v/>
      </c>
    </row>
    <row r="620">
      <c r="A620" s="2" t="inlineStr">
        <is>
          <t>m250312</t>
        </is>
      </c>
      <c r="B620" s="2">
        <f>IFERROR(VLOOKUP(A620,Students!$A:$B,2,FALSE),"")</f>
        <v/>
      </c>
      <c r="C620" s="2" t="inlineStr">
        <is>
          <t>Fall 2025</t>
        </is>
      </c>
      <c r="D620" s="2" t="inlineStr">
        <is>
          <t>Semester 1</t>
        </is>
      </c>
      <c r="E620" s="2" t="inlineStr">
        <is>
          <t>MBA 530</t>
        </is>
      </c>
      <c r="F620" s="2">
        <f>IFERROR(VLOOKUP(E620,Courses!$A:$C,2,FALSE),"")</f>
        <v/>
      </c>
      <c r="G620" s="2">
        <f>IFERROR(VLOOKUP(E620,Courses!$A:$C,3,FALSE),0)</f>
        <v/>
      </c>
      <c r="H620" s="2" t="inlineStr">
        <is>
          <t>C+</t>
        </is>
      </c>
      <c r="I620" s="2" t="n">
        <v>78</v>
      </c>
      <c r="J620" s="2">
        <f>IFERROR(VLOOKUP(H620,'Grade Scale'!$A:$B,2,FALSE),0)</f>
        <v/>
      </c>
      <c r="K620" s="2">
        <f>J620*G620</f>
        <v/>
      </c>
      <c r="L620" s="2">
        <f>IF(H620="F",0,G620)</f>
        <v/>
      </c>
    </row>
    <row r="621">
      <c r="A621" s="2" t="inlineStr">
        <is>
          <t>m250312</t>
        </is>
      </c>
      <c r="B621" s="2">
        <f>IFERROR(VLOOKUP(A621,Students!$A:$B,2,FALSE),"")</f>
        <v/>
      </c>
      <c r="C621" s="2" t="inlineStr">
        <is>
          <t>Fall 2025</t>
        </is>
      </c>
      <c r="D621" s="2" t="inlineStr">
        <is>
          <t>Semester 1</t>
        </is>
      </c>
      <c r="E621" s="2" t="inlineStr">
        <is>
          <t>MBA 540</t>
        </is>
      </c>
      <c r="F621" s="2">
        <f>IFERROR(VLOOKUP(E621,Courses!$A:$C,2,FALSE),"")</f>
        <v/>
      </c>
      <c r="G621" s="2">
        <f>IFERROR(VLOOKUP(E621,Courses!$A:$C,3,FALSE),0)</f>
        <v/>
      </c>
      <c r="H621" s="2" t="inlineStr">
        <is>
          <t>C</t>
        </is>
      </c>
      <c r="I621" s="2" t="n">
        <v>75</v>
      </c>
      <c r="J621" s="2">
        <f>IFERROR(VLOOKUP(H621,'Grade Scale'!$A:$B,2,FALSE),0)</f>
        <v/>
      </c>
      <c r="K621" s="2">
        <f>J621*G621</f>
        <v/>
      </c>
      <c r="L621" s="2">
        <f>IF(H621="F",0,G621)</f>
        <v/>
      </c>
    </row>
    <row r="622">
      <c r="A622" s="2" t="inlineStr">
        <is>
          <t>m250312</t>
        </is>
      </c>
      <c r="B622" s="2">
        <f>IFERROR(VLOOKUP(A622,Students!$A:$B,2,FALSE),"")</f>
        <v/>
      </c>
      <c r="C622" s="2" t="inlineStr">
        <is>
          <t>Spring 2026</t>
        </is>
      </c>
      <c r="D622" s="2" t="inlineStr">
        <is>
          <t>Semester 2</t>
        </is>
      </c>
      <c r="E622" s="2" t="inlineStr">
        <is>
          <t>MBA 550</t>
        </is>
      </c>
      <c r="F622" s="2">
        <f>IFERROR(VLOOKUP(E622,Courses!$A:$C,2,FALSE),"")</f>
        <v/>
      </c>
      <c r="G622" s="2">
        <f>IFERROR(VLOOKUP(E622,Courses!$A:$C,3,FALSE),0)</f>
        <v/>
      </c>
      <c r="H622" s="2" t="inlineStr">
        <is>
          <t>D+</t>
        </is>
      </c>
      <c r="I622" s="2" t="n">
        <v>69</v>
      </c>
      <c r="J622" s="2">
        <f>IFERROR(VLOOKUP(H622,'Grade Scale'!$A:$B,2,FALSE),0)</f>
        <v/>
      </c>
      <c r="K622" s="2">
        <f>J622*G622</f>
        <v/>
      </c>
      <c r="L622" s="2">
        <f>IF(H622="F",0,G622)</f>
        <v/>
      </c>
    </row>
    <row r="623">
      <c r="A623" s="2" t="inlineStr">
        <is>
          <t>m250312</t>
        </is>
      </c>
      <c r="B623" s="2">
        <f>IFERROR(VLOOKUP(A623,Students!$A:$B,2,FALSE),"")</f>
        <v/>
      </c>
      <c r="C623" s="2" t="inlineStr">
        <is>
          <t>Spring 2026</t>
        </is>
      </c>
      <c r="D623" s="2" t="inlineStr">
        <is>
          <t>Semester 2</t>
        </is>
      </c>
      <c r="E623" s="2" t="inlineStr">
        <is>
          <t>MBA 560</t>
        </is>
      </c>
      <c r="F623" s="2">
        <f>IFERROR(VLOOKUP(E623,Courses!$A:$C,2,FALSE),"")</f>
        <v/>
      </c>
      <c r="G623" s="2">
        <f>IFERROR(VLOOKUP(E623,Courses!$A:$C,3,FALSE),0)</f>
        <v/>
      </c>
      <c r="H623" s="2" t="inlineStr">
        <is>
          <t>B-</t>
        </is>
      </c>
      <c r="I623" s="2" t="n">
        <v>80</v>
      </c>
      <c r="J623" s="2">
        <f>IFERROR(VLOOKUP(H623,'Grade Scale'!$A:$B,2,FALSE),0)</f>
        <v/>
      </c>
      <c r="K623" s="2">
        <f>J623*G623</f>
        <v/>
      </c>
      <c r="L623" s="2">
        <f>IF(H623="F",0,G623)</f>
        <v/>
      </c>
    </row>
    <row r="624">
      <c r="A624" s="2" t="inlineStr">
        <is>
          <t>m250312</t>
        </is>
      </c>
      <c r="B624" s="2">
        <f>IFERROR(VLOOKUP(A624,Students!$A:$B,2,FALSE),"")</f>
        <v/>
      </c>
      <c r="C624" s="2" t="inlineStr">
        <is>
          <t>Spring 2026</t>
        </is>
      </c>
      <c r="D624" s="2" t="inlineStr">
        <is>
          <t>Semester 2</t>
        </is>
      </c>
      <c r="E624" s="2" t="inlineStr">
        <is>
          <t>MBA 570</t>
        </is>
      </c>
      <c r="F624" s="2">
        <f>IFERROR(VLOOKUP(E624,Courses!$A:$C,2,FALSE),"")</f>
        <v/>
      </c>
      <c r="G624" s="2">
        <f>IFERROR(VLOOKUP(E624,Courses!$A:$C,3,FALSE),0)</f>
        <v/>
      </c>
      <c r="H624" s="2" t="inlineStr">
        <is>
          <t>D</t>
        </is>
      </c>
      <c r="I624" s="2" t="n">
        <v>64</v>
      </c>
      <c r="J624" s="2">
        <f>IFERROR(VLOOKUP(H624,'Grade Scale'!$A:$B,2,FALSE),0)</f>
        <v/>
      </c>
      <c r="K624" s="2">
        <f>J624*G624</f>
        <v/>
      </c>
      <c r="L624" s="2">
        <f>IF(H624="F",0,G624)</f>
        <v/>
      </c>
    </row>
    <row r="625">
      <c r="A625" s="2" t="inlineStr">
        <is>
          <t>m250312</t>
        </is>
      </c>
      <c r="B625" s="2">
        <f>IFERROR(VLOOKUP(A625,Students!$A:$B,2,FALSE),"")</f>
        <v/>
      </c>
      <c r="C625" s="2" t="inlineStr">
        <is>
          <t>Spring 2026</t>
        </is>
      </c>
      <c r="D625" s="2" t="inlineStr">
        <is>
          <t>Semester 2</t>
        </is>
      </c>
      <c r="E625" s="2" t="inlineStr">
        <is>
          <t>MBA 580</t>
        </is>
      </c>
      <c r="F625" s="2">
        <f>IFERROR(VLOOKUP(E625,Courses!$A:$C,2,FALSE),"")</f>
        <v/>
      </c>
      <c r="G625" s="2">
        <f>IFERROR(VLOOKUP(E625,Courses!$A:$C,3,FALSE),0)</f>
        <v/>
      </c>
      <c r="H625" s="2" t="inlineStr">
        <is>
          <t>C</t>
        </is>
      </c>
      <c r="I625" s="2" t="n">
        <v>76</v>
      </c>
      <c r="J625" s="2">
        <f>IFERROR(VLOOKUP(H625,'Grade Scale'!$A:$B,2,FALSE),0)</f>
        <v/>
      </c>
      <c r="K625" s="2">
        <f>J625*G625</f>
        <v/>
      </c>
      <c r="L625" s="2">
        <f>IF(H625="F",0,G625)</f>
        <v/>
      </c>
    </row>
    <row r="626">
      <c r="A626" s="2" t="inlineStr">
        <is>
          <t>m250312</t>
        </is>
      </c>
      <c r="B626" s="2">
        <f>IFERROR(VLOOKUP(A626,Students!$A:$B,2,FALSE),"")</f>
        <v/>
      </c>
      <c r="C626" s="2" t="inlineStr">
        <is>
          <t>Spring 2026</t>
        </is>
      </c>
      <c r="D626" s="2" t="inlineStr">
        <is>
          <t>Semester 2</t>
        </is>
      </c>
      <c r="E626" s="2" t="inlineStr">
        <is>
          <t>MBA 590</t>
        </is>
      </c>
      <c r="F626" s="2">
        <f>IFERROR(VLOOKUP(E626,Courses!$A:$C,2,FALSE),"")</f>
        <v/>
      </c>
      <c r="G626" s="2">
        <f>IFERROR(VLOOKUP(E626,Courses!$A:$C,3,FALSE),0)</f>
        <v/>
      </c>
      <c r="H626" s="2" t="inlineStr">
        <is>
          <t>C+</t>
        </is>
      </c>
      <c r="I626" s="2" t="n">
        <v>77</v>
      </c>
      <c r="J626" s="2">
        <f>IFERROR(VLOOKUP(H626,'Grade Scale'!$A:$B,2,FALSE),0)</f>
        <v/>
      </c>
      <c r="K626" s="2">
        <f>J626*G626</f>
        <v/>
      </c>
      <c r="L626" s="2">
        <f>IF(H626="F",0,G626)</f>
        <v/>
      </c>
    </row>
    <row r="627">
      <c r="A627" s="2" t="inlineStr">
        <is>
          <t>m240115</t>
        </is>
      </c>
      <c r="B627" s="2">
        <f>IFERROR(VLOOKUP(A627,Students!$A:$B,2,FALSE),"")</f>
        <v/>
      </c>
      <c r="C627" s="2" t="inlineStr">
        <is>
          <t>Fall 2024</t>
        </is>
      </c>
      <c r="D627" s="2" t="inlineStr">
        <is>
          <t>Semester 1</t>
        </is>
      </c>
      <c r="E627" s="2" t="inlineStr">
        <is>
          <t>CSE 101</t>
        </is>
      </c>
      <c r="F627" s="2">
        <f>IFERROR(VLOOKUP(E627,Courses!$A:$C,2,FALSE),"")</f>
        <v/>
      </c>
      <c r="G627" s="2">
        <f>IFERROR(VLOOKUP(E627,Courses!$A:$C,3,FALSE),0)</f>
        <v/>
      </c>
      <c r="H627" s="2" t="inlineStr">
        <is>
          <t>B</t>
        </is>
      </c>
      <c r="I627" s="2" t="n">
        <v>83</v>
      </c>
      <c r="J627" s="2">
        <f>IFERROR(VLOOKUP(H627,'Grade Scale'!$A:$B,2,FALSE),0)</f>
        <v/>
      </c>
      <c r="K627" s="2">
        <f>J627*G627</f>
        <v/>
      </c>
      <c r="L627" s="2">
        <f>IF(H627="F",0,G627)</f>
        <v/>
      </c>
    </row>
    <row r="628">
      <c r="A628" s="2" t="inlineStr">
        <is>
          <t>m240115</t>
        </is>
      </c>
      <c r="B628" s="2">
        <f>IFERROR(VLOOKUP(A628,Students!$A:$B,2,FALSE),"")</f>
        <v/>
      </c>
      <c r="C628" s="2" t="inlineStr">
        <is>
          <t>Fall 2024</t>
        </is>
      </c>
      <c r="D628" s="2" t="inlineStr">
        <is>
          <t>Semester 1</t>
        </is>
      </c>
      <c r="E628" s="2" t="inlineStr">
        <is>
          <t>MTH 110</t>
        </is>
      </c>
      <c r="F628" s="2">
        <f>IFERROR(VLOOKUP(E628,Courses!$A:$C,2,FALSE),"")</f>
        <v/>
      </c>
      <c r="G628" s="2">
        <f>IFERROR(VLOOKUP(E628,Courses!$A:$C,3,FALSE),0)</f>
        <v/>
      </c>
      <c r="H628" s="2" t="inlineStr">
        <is>
          <t>C+</t>
        </is>
      </c>
      <c r="I628" s="2" t="n">
        <v>79</v>
      </c>
      <c r="J628" s="2">
        <f>IFERROR(VLOOKUP(H628,'Grade Scale'!$A:$B,2,FALSE),0)</f>
        <v/>
      </c>
      <c r="K628" s="2">
        <f>J628*G628</f>
        <v/>
      </c>
      <c r="L628" s="2">
        <f>IF(H628="F",0,G628)</f>
        <v/>
      </c>
    </row>
    <row r="629">
      <c r="A629" s="2" t="inlineStr">
        <is>
          <t>m240115</t>
        </is>
      </c>
      <c r="B629" s="2">
        <f>IFERROR(VLOOKUP(A629,Students!$A:$B,2,FALSE),"")</f>
        <v/>
      </c>
      <c r="C629" s="2" t="inlineStr">
        <is>
          <t>Fall 2024</t>
        </is>
      </c>
      <c r="D629" s="2" t="inlineStr">
        <is>
          <t>Semester 1</t>
        </is>
      </c>
      <c r="E629" s="2" t="inlineStr">
        <is>
          <t>CSE 120</t>
        </is>
      </c>
      <c r="F629" s="2">
        <f>IFERROR(VLOOKUP(E629,Courses!$A:$C,2,FALSE),"")</f>
        <v/>
      </c>
      <c r="G629" s="2">
        <f>IFERROR(VLOOKUP(E629,Courses!$A:$C,3,FALSE),0)</f>
        <v/>
      </c>
      <c r="H629" s="2" t="inlineStr">
        <is>
          <t>C+</t>
        </is>
      </c>
      <c r="I629" s="2" t="n">
        <v>77</v>
      </c>
      <c r="J629" s="2">
        <f>IFERROR(VLOOKUP(H629,'Grade Scale'!$A:$B,2,FALSE),0)</f>
        <v/>
      </c>
      <c r="K629" s="2">
        <f>J629*G629</f>
        <v/>
      </c>
      <c r="L629" s="2">
        <f>IF(H629="F",0,G629)</f>
        <v/>
      </c>
    </row>
    <row r="630">
      <c r="A630" s="2" t="inlineStr">
        <is>
          <t>m240115</t>
        </is>
      </c>
      <c r="B630" s="2">
        <f>IFERROR(VLOOKUP(A630,Students!$A:$B,2,FALSE),"")</f>
        <v/>
      </c>
      <c r="C630" s="2" t="inlineStr">
        <is>
          <t>Fall 2024</t>
        </is>
      </c>
      <c r="D630" s="2" t="inlineStr">
        <is>
          <t>Semester 1</t>
        </is>
      </c>
      <c r="E630" s="2" t="inlineStr">
        <is>
          <t>ENG 101</t>
        </is>
      </c>
      <c r="F630" s="2">
        <f>IFERROR(VLOOKUP(E630,Courses!$A:$C,2,FALSE),"")</f>
        <v/>
      </c>
      <c r="G630" s="2">
        <f>IFERROR(VLOOKUP(E630,Courses!$A:$C,3,FALSE),0)</f>
        <v/>
      </c>
      <c r="H630" s="2" t="inlineStr">
        <is>
          <t>B-</t>
        </is>
      </c>
      <c r="I630" s="2" t="n">
        <v>82</v>
      </c>
      <c r="J630" s="2">
        <f>IFERROR(VLOOKUP(H630,'Grade Scale'!$A:$B,2,FALSE),0)</f>
        <v/>
      </c>
      <c r="K630" s="2">
        <f>J630*G630</f>
        <v/>
      </c>
      <c r="L630" s="2">
        <f>IF(H630="F",0,G630)</f>
        <v/>
      </c>
    </row>
    <row r="631">
      <c r="A631" s="2" t="inlineStr">
        <is>
          <t>m240115</t>
        </is>
      </c>
      <c r="B631" s="2">
        <f>IFERROR(VLOOKUP(A631,Students!$A:$B,2,FALSE),"")</f>
        <v/>
      </c>
      <c r="C631" s="2" t="inlineStr">
        <is>
          <t>Fall 2024</t>
        </is>
      </c>
      <c r="D631" s="2" t="inlineStr">
        <is>
          <t>Semester 1</t>
        </is>
      </c>
      <c r="E631" s="2" t="inlineStr">
        <is>
          <t>MTH 120</t>
        </is>
      </c>
      <c r="F631" s="2">
        <f>IFERROR(VLOOKUP(E631,Courses!$A:$C,2,FALSE),"")</f>
        <v/>
      </c>
      <c r="G631" s="2">
        <f>IFERROR(VLOOKUP(E631,Courses!$A:$C,3,FALSE),0)</f>
        <v/>
      </c>
      <c r="H631" s="2" t="inlineStr">
        <is>
          <t>C+</t>
        </is>
      </c>
      <c r="I631" s="2" t="n">
        <v>79</v>
      </c>
      <c r="J631" s="2">
        <f>IFERROR(VLOOKUP(H631,'Grade Scale'!$A:$B,2,FALSE),0)</f>
        <v/>
      </c>
      <c r="K631" s="2">
        <f>J631*G631</f>
        <v/>
      </c>
      <c r="L631" s="2">
        <f>IF(H631="F",0,G631)</f>
        <v/>
      </c>
    </row>
    <row r="632">
      <c r="A632" s="2" t="inlineStr">
        <is>
          <t>m240115</t>
        </is>
      </c>
      <c r="B632" s="2">
        <f>IFERROR(VLOOKUP(A632,Students!$A:$B,2,FALSE),"")</f>
        <v/>
      </c>
      <c r="C632" s="2" t="inlineStr">
        <is>
          <t>Spring 2025</t>
        </is>
      </c>
      <c r="D632" s="2" t="inlineStr">
        <is>
          <t>Semester 2</t>
        </is>
      </c>
      <c r="E632" s="2" t="inlineStr">
        <is>
          <t>CSE 150</t>
        </is>
      </c>
      <c r="F632" s="2">
        <f>IFERROR(VLOOKUP(E632,Courses!$A:$C,2,FALSE),"")</f>
        <v/>
      </c>
      <c r="G632" s="2">
        <f>IFERROR(VLOOKUP(E632,Courses!$A:$C,3,FALSE),0)</f>
        <v/>
      </c>
      <c r="H632" s="2" t="inlineStr">
        <is>
          <t>C-</t>
        </is>
      </c>
      <c r="I632" s="2" t="n">
        <v>71</v>
      </c>
      <c r="J632" s="2">
        <f>IFERROR(VLOOKUP(H632,'Grade Scale'!$A:$B,2,FALSE),0)</f>
        <v/>
      </c>
      <c r="K632" s="2">
        <f>J632*G632</f>
        <v/>
      </c>
      <c r="L632" s="2">
        <f>IF(H632="F",0,G632)</f>
        <v/>
      </c>
    </row>
    <row r="633">
      <c r="A633" s="2" t="inlineStr">
        <is>
          <t>m240115</t>
        </is>
      </c>
      <c r="B633" s="2">
        <f>IFERROR(VLOOKUP(A633,Students!$A:$B,2,FALSE),"")</f>
        <v/>
      </c>
      <c r="C633" s="2" t="inlineStr">
        <is>
          <t>Spring 2025</t>
        </is>
      </c>
      <c r="D633" s="2" t="inlineStr">
        <is>
          <t>Semester 2</t>
        </is>
      </c>
      <c r="E633" s="2" t="inlineStr">
        <is>
          <t>CSE 160</t>
        </is>
      </c>
      <c r="F633" s="2">
        <f>IFERROR(VLOOKUP(E633,Courses!$A:$C,2,FALSE),"")</f>
        <v/>
      </c>
      <c r="G633" s="2">
        <f>IFERROR(VLOOKUP(E633,Courses!$A:$C,3,FALSE),0)</f>
        <v/>
      </c>
      <c r="H633" s="2" t="inlineStr">
        <is>
          <t>C</t>
        </is>
      </c>
      <c r="I633" s="2" t="n">
        <v>74</v>
      </c>
      <c r="J633" s="2">
        <f>IFERROR(VLOOKUP(H633,'Grade Scale'!$A:$B,2,FALSE),0)</f>
        <v/>
      </c>
      <c r="K633" s="2">
        <f>J633*G633</f>
        <v/>
      </c>
      <c r="L633" s="2">
        <f>IF(H633="F",0,G633)</f>
        <v/>
      </c>
    </row>
    <row r="634">
      <c r="A634" s="2" t="inlineStr">
        <is>
          <t>m240115</t>
        </is>
      </c>
      <c r="B634" s="2">
        <f>IFERROR(VLOOKUP(A634,Students!$A:$B,2,FALSE),"")</f>
        <v/>
      </c>
      <c r="C634" s="2" t="inlineStr">
        <is>
          <t>Spring 2025</t>
        </is>
      </c>
      <c r="D634" s="2" t="inlineStr">
        <is>
          <t>Semester 2</t>
        </is>
      </c>
      <c r="E634" s="2" t="inlineStr">
        <is>
          <t>CSE 170</t>
        </is>
      </c>
      <c r="F634" s="2">
        <f>IFERROR(VLOOKUP(E634,Courses!$A:$C,2,FALSE),"")</f>
        <v/>
      </c>
      <c r="G634" s="2">
        <f>IFERROR(VLOOKUP(E634,Courses!$A:$C,3,FALSE),0)</f>
        <v/>
      </c>
      <c r="H634" s="2" t="inlineStr">
        <is>
          <t>B-</t>
        </is>
      </c>
      <c r="I634" s="2" t="n">
        <v>81</v>
      </c>
      <c r="J634" s="2">
        <f>IFERROR(VLOOKUP(H634,'Grade Scale'!$A:$B,2,FALSE),0)</f>
        <v/>
      </c>
      <c r="K634" s="2">
        <f>J634*G634</f>
        <v/>
      </c>
      <c r="L634" s="2">
        <f>IF(H634="F",0,G634)</f>
        <v/>
      </c>
    </row>
    <row r="635">
      <c r="A635" s="2" t="inlineStr">
        <is>
          <t>m240115</t>
        </is>
      </c>
      <c r="B635" s="2">
        <f>IFERROR(VLOOKUP(A635,Students!$A:$B,2,FALSE),"")</f>
        <v/>
      </c>
      <c r="C635" s="2" t="inlineStr">
        <is>
          <t>Spring 2025</t>
        </is>
      </c>
      <c r="D635" s="2" t="inlineStr">
        <is>
          <t>Semester 2</t>
        </is>
      </c>
      <c r="E635" s="2" t="inlineStr">
        <is>
          <t>ENG 102</t>
        </is>
      </c>
      <c r="F635" s="2">
        <f>IFERROR(VLOOKUP(E635,Courses!$A:$C,2,FALSE),"")</f>
        <v/>
      </c>
      <c r="G635" s="2">
        <f>IFERROR(VLOOKUP(E635,Courses!$A:$C,3,FALSE),0)</f>
        <v/>
      </c>
      <c r="H635" s="2" t="inlineStr">
        <is>
          <t>C</t>
        </is>
      </c>
      <c r="I635" s="2" t="n">
        <v>75</v>
      </c>
      <c r="J635" s="2">
        <f>IFERROR(VLOOKUP(H635,'Grade Scale'!$A:$B,2,FALSE),0)</f>
        <v/>
      </c>
      <c r="K635" s="2">
        <f>J635*G635</f>
        <v/>
      </c>
      <c r="L635" s="2">
        <f>IF(H635="F",0,G635)</f>
        <v/>
      </c>
    </row>
    <row r="636">
      <c r="A636" s="2" t="inlineStr">
        <is>
          <t>m240115</t>
        </is>
      </c>
      <c r="B636" s="2">
        <f>IFERROR(VLOOKUP(A636,Students!$A:$B,2,FALSE),"")</f>
        <v/>
      </c>
      <c r="C636" s="2" t="inlineStr">
        <is>
          <t>Spring 2025</t>
        </is>
      </c>
      <c r="D636" s="2" t="inlineStr">
        <is>
          <t>Semester 2</t>
        </is>
      </c>
      <c r="E636" s="2" t="inlineStr">
        <is>
          <t>MTH 130</t>
        </is>
      </c>
      <c r="F636" s="2">
        <f>IFERROR(VLOOKUP(E636,Courses!$A:$C,2,FALSE),"")</f>
        <v/>
      </c>
      <c r="G636" s="2">
        <f>IFERROR(VLOOKUP(E636,Courses!$A:$C,3,FALSE),0)</f>
        <v/>
      </c>
      <c r="H636" s="2" t="inlineStr">
        <is>
          <t>C+</t>
        </is>
      </c>
      <c r="I636" s="2" t="n">
        <v>79</v>
      </c>
      <c r="J636" s="2">
        <f>IFERROR(VLOOKUP(H636,'Grade Scale'!$A:$B,2,FALSE),0)</f>
        <v/>
      </c>
      <c r="K636" s="2">
        <f>J636*G636</f>
        <v/>
      </c>
      <c r="L636" s="2">
        <f>IF(H636="F",0,G636)</f>
        <v/>
      </c>
    </row>
    <row r="637">
      <c r="A637" s="2" t="inlineStr">
        <is>
          <t>m240115</t>
        </is>
      </c>
      <c r="B637" s="2">
        <f>IFERROR(VLOOKUP(A637,Students!$A:$B,2,FALSE),"")</f>
        <v/>
      </c>
      <c r="C637" s="2" t="inlineStr">
        <is>
          <t>Fall 2025</t>
        </is>
      </c>
      <c r="D637" s="2" t="inlineStr">
        <is>
          <t>Semester 3</t>
        </is>
      </c>
      <c r="E637" s="2" t="inlineStr">
        <is>
          <t>CSE 210</t>
        </is>
      </c>
      <c r="F637" s="2">
        <f>IFERROR(VLOOKUP(E637,Courses!$A:$C,2,FALSE),"")</f>
        <v/>
      </c>
      <c r="G637" s="2">
        <f>IFERROR(VLOOKUP(E637,Courses!$A:$C,3,FALSE),0)</f>
        <v/>
      </c>
      <c r="H637" s="2" t="inlineStr">
        <is>
          <t>C</t>
        </is>
      </c>
      <c r="I637" s="2" t="n">
        <v>75</v>
      </c>
      <c r="J637" s="2">
        <f>IFERROR(VLOOKUP(H637,'Grade Scale'!$A:$B,2,FALSE),0)</f>
        <v/>
      </c>
      <c r="K637" s="2">
        <f>J637*G637</f>
        <v/>
      </c>
      <c r="L637" s="2">
        <f>IF(H637="F",0,G637)</f>
        <v/>
      </c>
    </row>
    <row r="638">
      <c r="A638" s="2" t="inlineStr">
        <is>
          <t>m240115</t>
        </is>
      </c>
      <c r="B638" s="2">
        <f>IFERROR(VLOOKUP(A638,Students!$A:$B,2,FALSE),"")</f>
        <v/>
      </c>
      <c r="C638" s="2" t="inlineStr">
        <is>
          <t>Fall 2025</t>
        </is>
      </c>
      <c r="D638" s="2" t="inlineStr">
        <is>
          <t>Semester 3</t>
        </is>
      </c>
      <c r="E638" s="2" t="inlineStr">
        <is>
          <t>CSE 220</t>
        </is>
      </c>
      <c r="F638" s="2">
        <f>IFERROR(VLOOKUP(E638,Courses!$A:$C,2,FALSE),"")</f>
        <v/>
      </c>
      <c r="G638" s="2">
        <f>IFERROR(VLOOKUP(E638,Courses!$A:$C,3,FALSE),0)</f>
        <v/>
      </c>
      <c r="H638" s="2" t="inlineStr">
        <is>
          <t>B</t>
        </is>
      </c>
      <c r="I638" s="2" t="n">
        <v>83</v>
      </c>
      <c r="J638" s="2">
        <f>IFERROR(VLOOKUP(H638,'Grade Scale'!$A:$B,2,FALSE),0)</f>
        <v/>
      </c>
      <c r="K638" s="2">
        <f>J638*G638</f>
        <v/>
      </c>
      <c r="L638" s="2">
        <f>IF(H638="F",0,G638)</f>
        <v/>
      </c>
    </row>
    <row r="639">
      <c r="A639" s="2" t="inlineStr">
        <is>
          <t>m240115</t>
        </is>
      </c>
      <c r="B639" s="2">
        <f>IFERROR(VLOOKUP(A639,Students!$A:$B,2,FALSE),"")</f>
        <v/>
      </c>
      <c r="C639" s="2" t="inlineStr">
        <is>
          <t>Fall 2025</t>
        </is>
      </c>
      <c r="D639" s="2" t="inlineStr">
        <is>
          <t>Semester 3</t>
        </is>
      </c>
      <c r="E639" s="2" t="inlineStr">
        <is>
          <t>CSE 230</t>
        </is>
      </c>
      <c r="F639" s="2">
        <f>IFERROR(VLOOKUP(E639,Courses!$A:$C,2,FALSE),"")</f>
        <v/>
      </c>
      <c r="G639" s="2">
        <f>IFERROR(VLOOKUP(E639,Courses!$A:$C,3,FALSE),0)</f>
        <v/>
      </c>
      <c r="H639" s="2" t="inlineStr">
        <is>
          <t>B+</t>
        </is>
      </c>
      <c r="I639" s="2" t="n">
        <v>89</v>
      </c>
      <c r="J639" s="2">
        <f>IFERROR(VLOOKUP(H639,'Grade Scale'!$A:$B,2,FALSE),0)</f>
        <v/>
      </c>
      <c r="K639" s="2">
        <f>J639*G639</f>
        <v/>
      </c>
      <c r="L639" s="2">
        <f>IF(H639="F",0,G639)</f>
        <v/>
      </c>
    </row>
    <row r="640">
      <c r="A640" s="2" t="inlineStr">
        <is>
          <t>m240115</t>
        </is>
      </c>
      <c r="B640" s="2">
        <f>IFERROR(VLOOKUP(A640,Students!$A:$B,2,FALSE),"")</f>
        <v/>
      </c>
      <c r="C640" s="2" t="inlineStr">
        <is>
          <t>Fall 2025</t>
        </is>
      </c>
      <c r="D640" s="2" t="inlineStr">
        <is>
          <t>Semester 3</t>
        </is>
      </c>
      <c r="E640" s="2" t="inlineStr">
        <is>
          <t>CSE 240</t>
        </is>
      </c>
      <c r="F640" s="2">
        <f>IFERROR(VLOOKUP(E640,Courses!$A:$C,2,FALSE),"")</f>
        <v/>
      </c>
      <c r="G640" s="2">
        <f>IFERROR(VLOOKUP(E640,Courses!$A:$C,3,FALSE),0)</f>
        <v/>
      </c>
      <c r="H640" s="2" t="inlineStr">
        <is>
          <t>C</t>
        </is>
      </c>
      <c r="I640" s="2" t="n">
        <v>73</v>
      </c>
      <c r="J640" s="2">
        <f>IFERROR(VLOOKUP(H640,'Grade Scale'!$A:$B,2,FALSE),0)</f>
        <v/>
      </c>
      <c r="K640" s="2">
        <f>J640*G640</f>
        <v/>
      </c>
      <c r="L640" s="2">
        <f>IF(H640="F",0,G640)</f>
        <v/>
      </c>
    </row>
    <row r="641">
      <c r="A641" s="2" t="inlineStr">
        <is>
          <t>m240115</t>
        </is>
      </c>
      <c r="B641" s="2">
        <f>IFERROR(VLOOKUP(A641,Students!$A:$B,2,FALSE),"")</f>
        <v/>
      </c>
      <c r="C641" s="2" t="inlineStr">
        <is>
          <t>Fall 2025</t>
        </is>
      </c>
      <c r="D641" s="2" t="inlineStr">
        <is>
          <t>Semester 3</t>
        </is>
      </c>
      <c r="E641" s="2" t="inlineStr">
        <is>
          <t>STA 201</t>
        </is>
      </c>
      <c r="F641" s="2">
        <f>IFERROR(VLOOKUP(E641,Courses!$A:$C,2,FALSE),"")</f>
        <v/>
      </c>
      <c r="G641" s="2">
        <f>IFERROR(VLOOKUP(E641,Courses!$A:$C,3,FALSE),0)</f>
        <v/>
      </c>
      <c r="H641" s="2" t="inlineStr">
        <is>
          <t>B-</t>
        </is>
      </c>
      <c r="I641" s="2" t="n">
        <v>82</v>
      </c>
      <c r="J641" s="2">
        <f>IFERROR(VLOOKUP(H641,'Grade Scale'!$A:$B,2,FALSE),0)</f>
        <v/>
      </c>
      <c r="K641" s="2">
        <f>J641*G641</f>
        <v/>
      </c>
      <c r="L641" s="2">
        <f>IF(H641="F",0,G641)</f>
        <v/>
      </c>
    </row>
    <row r="642">
      <c r="A642" s="2" t="inlineStr">
        <is>
          <t>m240115</t>
        </is>
      </c>
      <c r="B642" s="2">
        <f>IFERROR(VLOOKUP(A642,Students!$A:$B,2,FALSE),"")</f>
        <v/>
      </c>
      <c r="C642" s="2" t="inlineStr">
        <is>
          <t>Spring 2026</t>
        </is>
      </c>
      <c r="D642" s="2" t="inlineStr">
        <is>
          <t>Semester 4</t>
        </is>
      </c>
      <c r="E642" s="2" t="inlineStr">
        <is>
          <t>CSE 250</t>
        </is>
      </c>
      <c r="F642" s="2">
        <f>IFERROR(VLOOKUP(E642,Courses!$A:$C,2,FALSE),"")</f>
        <v/>
      </c>
      <c r="G642" s="2">
        <f>IFERROR(VLOOKUP(E642,Courses!$A:$C,3,FALSE),0)</f>
        <v/>
      </c>
      <c r="H642" s="2" t="inlineStr">
        <is>
          <t>B-</t>
        </is>
      </c>
      <c r="I642" s="2" t="n">
        <v>81</v>
      </c>
      <c r="J642" s="2">
        <f>IFERROR(VLOOKUP(H642,'Grade Scale'!$A:$B,2,FALSE),0)</f>
        <v/>
      </c>
      <c r="K642" s="2">
        <f>J642*G642</f>
        <v/>
      </c>
      <c r="L642" s="2">
        <f>IF(H642="F",0,G642)</f>
        <v/>
      </c>
    </row>
    <row r="643">
      <c r="A643" s="2" t="inlineStr">
        <is>
          <t>m240115</t>
        </is>
      </c>
      <c r="B643" s="2">
        <f>IFERROR(VLOOKUP(A643,Students!$A:$B,2,FALSE),"")</f>
        <v/>
      </c>
      <c r="C643" s="2" t="inlineStr">
        <is>
          <t>Spring 2026</t>
        </is>
      </c>
      <c r="D643" s="2" t="inlineStr">
        <is>
          <t>Semester 4</t>
        </is>
      </c>
      <c r="E643" s="2" t="inlineStr">
        <is>
          <t>CSE 260</t>
        </is>
      </c>
      <c r="F643" s="2">
        <f>IFERROR(VLOOKUP(E643,Courses!$A:$C,2,FALSE),"")</f>
        <v/>
      </c>
      <c r="G643" s="2">
        <f>IFERROR(VLOOKUP(E643,Courses!$A:$C,3,FALSE),0)</f>
        <v/>
      </c>
      <c r="H643" s="2" t="inlineStr">
        <is>
          <t>C</t>
        </is>
      </c>
      <c r="I643" s="2" t="n">
        <v>76</v>
      </c>
      <c r="J643" s="2">
        <f>IFERROR(VLOOKUP(H643,'Grade Scale'!$A:$B,2,FALSE),0)</f>
        <v/>
      </c>
      <c r="K643" s="2">
        <f>J643*G643</f>
        <v/>
      </c>
      <c r="L643" s="2">
        <f>IF(H643="F",0,G643)</f>
        <v/>
      </c>
    </row>
    <row r="644">
      <c r="A644" s="2" t="inlineStr">
        <is>
          <t>m240115</t>
        </is>
      </c>
      <c r="B644" s="2">
        <f>IFERROR(VLOOKUP(A644,Students!$A:$B,2,FALSE),"")</f>
        <v/>
      </c>
      <c r="C644" s="2" t="inlineStr">
        <is>
          <t>Spring 2026</t>
        </is>
      </c>
      <c r="D644" s="2" t="inlineStr">
        <is>
          <t>Semester 4</t>
        </is>
      </c>
      <c r="E644" s="2" t="inlineStr">
        <is>
          <t>CSE 270</t>
        </is>
      </c>
      <c r="F644" s="2">
        <f>IFERROR(VLOOKUP(E644,Courses!$A:$C,2,FALSE),"")</f>
        <v/>
      </c>
      <c r="G644" s="2">
        <f>IFERROR(VLOOKUP(E644,Courses!$A:$C,3,FALSE),0)</f>
        <v/>
      </c>
      <c r="H644" s="2" t="inlineStr">
        <is>
          <t>B-</t>
        </is>
      </c>
      <c r="I644" s="2" t="n">
        <v>81</v>
      </c>
      <c r="J644" s="2">
        <f>IFERROR(VLOOKUP(H644,'Grade Scale'!$A:$B,2,FALSE),0)</f>
        <v/>
      </c>
      <c r="K644" s="2">
        <f>J644*G644</f>
        <v/>
      </c>
      <c r="L644" s="2">
        <f>IF(H644="F",0,G644)</f>
        <v/>
      </c>
    </row>
    <row r="645">
      <c r="A645" s="2" t="inlineStr">
        <is>
          <t>m240115</t>
        </is>
      </c>
      <c r="B645" s="2">
        <f>IFERROR(VLOOKUP(A645,Students!$A:$B,2,FALSE),"")</f>
        <v/>
      </c>
      <c r="C645" s="2" t="inlineStr">
        <is>
          <t>Spring 2026</t>
        </is>
      </c>
      <c r="D645" s="2" t="inlineStr">
        <is>
          <t>Semester 4</t>
        </is>
      </c>
      <c r="E645" s="2" t="inlineStr">
        <is>
          <t>CSE 280</t>
        </is>
      </c>
      <c r="F645" s="2">
        <f>IFERROR(VLOOKUP(E645,Courses!$A:$C,2,FALSE),"")</f>
        <v/>
      </c>
      <c r="G645" s="2">
        <f>IFERROR(VLOOKUP(E645,Courses!$A:$C,3,FALSE),0)</f>
        <v/>
      </c>
      <c r="H645" s="2" t="inlineStr">
        <is>
          <t>A</t>
        </is>
      </c>
      <c r="I645" s="2" t="n">
        <v>95</v>
      </c>
      <c r="J645" s="2">
        <f>IFERROR(VLOOKUP(H645,'Grade Scale'!$A:$B,2,FALSE),0)</f>
        <v/>
      </c>
      <c r="K645" s="2">
        <f>J645*G645</f>
        <v/>
      </c>
      <c r="L645" s="2">
        <f>IF(H645="F",0,G645)</f>
        <v/>
      </c>
    </row>
    <row r="646">
      <c r="A646" s="2" t="inlineStr">
        <is>
          <t>m240115</t>
        </is>
      </c>
      <c r="B646" s="2">
        <f>IFERROR(VLOOKUP(A646,Students!$A:$B,2,FALSE),"")</f>
        <v/>
      </c>
      <c r="C646" s="2" t="inlineStr">
        <is>
          <t>Spring 2026</t>
        </is>
      </c>
      <c r="D646" s="2" t="inlineStr">
        <is>
          <t>Semester 4</t>
        </is>
      </c>
      <c r="E646" s="2" t="inlineStr">
        <is>
          <t>CSE 290</t>
        </is>
      </c>
      <c r="F646" s="2">
        <f>IFERROR(VLOOKUP(E646,Courses!$A:$C,2,FALSE),"")</f>
        <v/>
      </c>
      <c r="G646" s="2">
        <f>IFERROR(VLOOKUP(E646,Courses!$A:$C,3,FALSE),0)</f>
        <v/>
      </c>
      <c r="H646" s="2" t="inlineStr">
        <is>
          <t>B-</t>
        </is>
      </c>
      <c r="I646" s="2" t="n">
        <v>80</v>
      </c>
      <c r="J646" s="2">
        <f>IFERROR(VLOOKUP(H646,'Grade Scale'!$A:$B,2,FALSE),0)</f>
        <v/>
      </c>
      <c r="K646" s="2">
        <f>J646*G646</f>
        <v/>
      </c>
      <c r="L646" s="2">
        <f>IF(H646="F",0,G646)</f>
        <v/>
      </c>
    </row>
    <row r="647">
      <c r="A647" s="2" t="inlineStr">
        <is>
          <t>m250217</t>
        </is>
      </c>
      <c r="B647" s="2">
        <f>IFERROR(VLOOKUP(A647,Students!$A:$B,2,FALSE),"")</f>
        <v/>
      </c>
      <c r="C647" s="2" t="inlineStr">
        <is>
          <t>Spring 2025</t>
        </is>
      </c>
      <c r="D647" s="2" t="inlineStr">
        <is>
          <t>Semester 1</t>
        </is>
      </c>
      <c r="E647" s="2" t="inlineStr">
        <is>
          <t>DSC 501</t>
        </is>
      </c>
      <c r="F647" s="2">
        <f>IFERROR(VLOOKUP(E647,Courses!$A:$C,2,FALSE),"")</f>
        <v/>
      </c>
      <c r="G647" s="2">
        <f>IFERROR(VLOOKUP(E647,Courses!$A:$C,3,FALSE),0)</f>
        <v/>
      </c>
      <c r="H647" s="2" t="inlineStr">
        <is>
          <t>C+</t>
        </is>
      </c>
      <c r="I647" s="2" t="n">
        <v>77</v>
      </c>
      <c r="J647" s="2">
        <f>IFERROR(VLOOKUP(H647,'Grade Scale'!$A:$B,2,FALSE),0)</f>
        <v/>
      </c>
      <c r="K647" s="2">
        <f>J647*G647</f>
        <v/>
      </c>
      <c r="L647" s="2">
        <f>IF(H647="F",0,G647)</f>
        <v/>
      </c>
    </row>
    <row r="648">
      <c r="A648" s="2" t="inlineStr">
        <is>
          <t>m250217</t>
        </is>
      </c>
      <c r="B648" s="2">
        <f>IFERROR(VLOOKUP(A648,Students!$A:$B,2,FALSE),"")</f>
        <v/>
      </c>
      <c r="C648" s="2" t="inlineStr">
        <is>
          <t>Spring 2025</t>
        </is>
      </c>
      <c r="D648" s="2" t="inlineStr">
        <is>
          <t>Semester 1</t>
        </is>
      </c>
      <c r="E648" s="2" t="inlineStr">
        <is>
          <t>DSC 510</t>
        </is>
      </c>
      <c r="F648" s="2">
        <f>IFERROR(VLOOKUP(E648,Courses!$A:$C,2,FALSE),"")</f>
        <v/>
      </c>
      <c r="G648" s="2">
        <f>IFERROR(VLOOKUP(E648,Courses!$A:$C,3,FALSE),0)</f>
        <v/>
      </c>
      <c r="H648" s="2" t="inlineStr">
        <is>
          <t>B-</t>
        </is>
      </c>
      <c r="I648" s="2" t="n">
        <v>80</v>
      </c>
      <c r="J648" s="2">
        <f>IFERROR(VLOOKUP(H648,'Grade Scale'!$A:$B,2,FALSE),0)</f>
        <v/>
      </c>
      <c r="K648" s="2">
        <f>J648*G648</f>
        <v/>
      </c>
      <c r="L648" s="2">
        <f>IF(H648="F",0,G648)</f>
        <v/>
      </c>
    </row>
    <row r="649">
      <c r="A649" s="2" t="inlineStr">
        <is>
          <t>m250217</t>
        </is>
      </c>
      <c r="B649" s="2">
        <f>IFERROR(VLOOKUP(A649,Students!$A:$B,2,FALSE),"")</f>
        <v/>
      </c>
      <c r="C649" s="2" t="inlineStr">
        <is>
          <t>Spring 2025</t>
        </is>
      </c>
      <c r="D649" s="2" t="inlineStr">
        <is>
          <t>Semester 1</t>
        </is>
      </c>
      <c r="E649" s="2" t="inlineStr">
        <is>
          <t>DSC 520</t>
        </is>
      </c>
      <c r="F649" s="2">
        <f>IFERROR(VLOOKUP(E649,Courses!$A:$C,2,FALSE),"")</f>
        <v/>
      </c>
      <c r="G649" s="2">
        <f>IFERROR(VLOOKUP(E649,Courses!$A:$C,3,FALSE),0)</f>
        <v/>
      </c>
      <c r="H649" s="2" t="inlineStr">
        <is>
          <t>C</t>
        </is>
      </c>
      <c r="I649" s="2" t="n">
        <v>74</v>
      </c>
      <c r="J649" s="2">
        <f>IFERROR(VLOOKUP(H649,'Grade Scale'!$A:$B,2,FALSE),0)</f>
        <v/>
      </c>
      <c r="K649" s="2">
        <f>J649*G649</f>
        <v/>
      </c>
      <c r="L649" s="2">
        <f>IF(H649="F",0,G649)</f>
        <v/>
      </c>
    </row>
    <row r="650">
      <c r="A650" s="2" t="inlineStr">
        <is>
          <t>m250217</t>
        </is>
      </c>
      <c r="B650" s="2">
        <f>IFERROR(VLOOKUP(A650,Students!$A:$B,2,FALSE),"")</f>
        <v/>
      </c>
      <c r="C650" s="2" t="inlineStr">
        <is>
          <t>Spring 2025</t>
        </is>
      </c>
      <c r="D650" s="2" t="inlineStr">
        <is>
          <t>Semester 1</t>
        </is>
      </c>
      <c r="E650" s="2" t="inlineStr">
        <is>
          <t>DSC 530</t>
        </is>
      </c>
      <c r="F650" s="2">
        <f>IFERROR(VLOOKUP(E650,Courses!$A:$C,2,FALSE),"")</f>
        <v/>
      </c>
      <c r="G650" s="2">
        <f>IFERROR(VLOOKUP(E650,Courses!$A:$C,3,FALSE),0)</f>
        <v/>
      </c>
      <c r="H650" s="2" t="inlineStr">
        <is>
          <t>D</t>
        </is>
      </c>
      <c r="I650" s="2" t="n">
        <v>64</v>
      </c>
      <c r="J650" s="2">
        <f>IFERROR(VLOOKUP(H650,'Grade Scale'!$A:$B,2,FALSE),0)</f>
        <v/>
      </c>
      <c r="K650" s="2">
        <f>J650*G650</f>
        <v/>
      </c>
      <c r="L650" s="2">
        <f>IF(H650="F",0,G650)</f>
        <v/>
      </c>
    </row>
    <row r="651">
      <c r="A651" s="2" t="inlineStr">
        <is>
          <t>m250217</t>
        </is>
      </c>
      <c r="B651" s="2">
        <f>IFERROR(VLOOKUP(A651,Students!$A:$B,2,FALSE),"")</f>
        <v/>
      </c>
      <c r="C651" s="2" t="inlineStr">
        <is>
          <t>Spring 2025</t>
        </is>
      </c>
      <c r="D651" s="2" t="inlineStr">
        <is>
          <t>Semester 1</t>
        </is>
      </c>
      <c r="E651" s="2" t="inlineStr">
        <is>
          <t>DSC 540</t>
        </is>
      </c>
      <c r="F651" s="2">
        <f>IFERROR(VLOOKUP(E651,Courses!$A:$C,2,FALSE),"")</f>
        <v/>
      </c>
      <c r="G651" s="2">
        <f>IFERROR(VLOOKUP(E651,Courses!$A:$C,3,FALSE),0)</f>
        <v/>
      </c>
      <c r="H651" s="2" t="inlineStr">
        <is>
          <t>C+</t>
        </is>
      </c>
      <c r="I651" s="2" t="n">
        <v>79</v>
      </c>
      <c r="J651" s="2">
        <f>IFERROR(VLOOKUP(H651,'Grade Scale'!$A:$B,2,FALSE),0)</f>
        <v/>
      </c>
      <c r="K651" s="2">
        <f>J651*G651</f>
        <v/>
      </c>
      <c r="L651" s="2">
        <f>IF(H651="F",0,G651)</f>
        <v/>
      </c>
    </row>
    <row r="652">
      <c r="A652" s="2" t="inlineStr">
        <is>
          <t>m250217</t>
        </is>
      </c>
      <c r="B652" s="2">
        <f>IFERROR(VLOOKUP(A652,Students!$A:$B,2,FALSE),"")</f>
        <v/>
      </c>
      <c r="C652" s="2" t="inlineStr">
        <is>
          <t>Fall 2025</t>
        </is>
      </c>
      <c r="D652" s="2" t="inlineStr">
        <is>
          <t>Semester 2</t>
        </is>
      </c>
      <c r="E652" s="2" t="inlineStr">
        <is>
          <t>DSC 550</t>
        </is>
      </c>
      <c r="F652" s="2">
        <f>IFERROR(VLOOKUP(E652,Courses!$A:$C,2,FALSE),"")</f>
        <v/>
      </c>
      <c r="G652" s="2">
        <f>IFERROR(VLOOKUP(E652,Courses!$A:$C,3,FALSE),0)</f>
        <v/>
      </c>
      <c r="H652" s="2" t="inlineStr">
        <is>
          <t>C-</t>
        </is>
      </c>
      <c r="I652" s="2" t="n">
        <v>70</v>
      </c>
      <c r="J652" s="2">
        <f>IFERROR(VLOOKUP(H652,'Grade Scale'!$A:$B,2,FALSE),0)</f>
        <v/>
      </c>
      <c r="K652" s="2">
        <f>J652*G652</f>
        <v/>
      </c>
      <c r="L652" s="2">
        <f>IF(H652="F",0,G652)</f>
        <v/>
      </c>
    </row>
    <row r="653">
      <c r="A653" s="2" t="inlineStr">
        <is>
          <t>m250217</t>
        </is>
      </c>
      <c r="B653" s="2">
        <f>IFERROR(VLOOKUP(A653,Students!$A:$B,2,FALSE),"")</f>
        <v/>
      </c>
      <c r="C653" s="2" t="inlineStr">
        <is>
          <t>Fall 2025</t>
        </is>
      </c>
      <c r="D653" s="2" t="inlineStr">
        <is>
          <t>Semester 2</t>
        </is>
      </c>
      <c r="E653" s="2" t="inlineStr">
        <is>
          <t>DSC 560</t>
        </is>
      </c>
      <c r="F653" s="2">
        <f>IFERROR(VLOOKUP(E653,Courses!$A:$C,2,FALSE),"")</f>
        <v/>
      </c>
      <c r="G653" s="2">
        <f>IFERROR(VLOOKUP(E653,Courses!$A:$C,3,FALSE),0)</f>
        <v/>
      </c>
      <c r="H653" s="2" t="inlineStr">
        <is>
          <t>F</t>
        </is>
      </c>
      <c r="I653" s="2" t="n">
        <v>59</v>
      </c>
      <c r="J653" s="2">
        <f>IFERROR(VLOOKUP(H653,'Grade Scale'!$A:$B,2,FALSE),0)</f>
        <v/>
      </c>
      <c r="K653" s="2">
        <f>J653*G653</f>
        <v/>
      </c>
      <c r="L653" s="2">
        <f>IF(H653="F",0,G653)</f>
        <v/>
      </c>
    </row>
    <row r="654">
      <c r="A654" s="2" t="inlineStr">
        <is>
          <t>m250217</t>
        </is>
      </c>
      <c r="B654" s="2">
        <f>IFERROR(VLOOKUP(A654,Students!$A:$B,2,FALSE),"")</f>
        <v/>
      </c>
      <c r="C654" s="2" t="inlineStr">
        <is>
          <t>Fall 2025</t>
        </is>
      </c>
      <c r="D654" s="2" t="inlineStr">
        <is>
          <t>Semester 2</t>
        </is>
      </c>
      <c r="E654" s="2" t="inlineStr">
        <is>
          <t>DSC 570</t>
        </is>
      </c>
      <c r="F654" s="2">
        <f>IFERROR(VLOOKUP(E654,Courses!$A:$C,2,FALSE),"")</f>
        <v/>
      </c>
      <c r="G654" s="2">
        <f>IFERROR(VLOOKUP(E654,Courses!$A:$C,3,FALSE),0)</f>
        <v/>
      </c>
      <c r="H654" s="2" t="inlineStr">
        <is>
          <t>C-</t>
        </is>
      </c>
      <c r="I654" s="2" t="n">
        <v>70</v>
      </c>
      <c r="J654" s="2">
        <f>IFERROR(VLOOKUP(H654,'Grade Scale'!$A:$B,2,FALSE),0)</f>
        <v/>
      </c>
      <c r="K654" s="2">
        <f>J654*G654</f>
        <v/>
      </c>
      <c r="L654" s="2">
        <f>IF(H654="F",0,G654)</f>
        <v/>
      </c>
    </row>
    <row r="655">
      <c r="A655" s="2" t="inlineStr">
        <is>
          <t>m250217</t>
        </is>
      </c>
      <c r="B655" s="2">
        <f>IFERROR(VLOOKUP(A655,Students!$A:$B,2,FALSE),"")</f>
        <v/>
      </c>
      <c r="C655" s="2" t="inlineStr">
        <is>
          <t>Fall 2025</t>
        </is>
      </c>
      <c r="D655" s="2" t="inlineStr">
        <is>
          <t>Semester 2</t>
        </is>
      </c>
      <c r="E655" s="2" t="inlineStr">
        <is>
          <t>DSC 580</t>
        </is>
      </c>
      <c r="F655" s="2">
        <f>IFERROR(VLOOKUP(E655,Courses!$A:$C,2,FALSE),"")</f>
        <v/>
      </c>
      <c r="G655" s="2">
        <f>IFERROR(VLOOKUP(E655,Courses!$A:$C,3,FALSE),0)</f>
        <v/>
      </c>
      <c r="H655" s="2" t="inlineStr">
        <is>
          <t>D+</t>
        </is>
      </c>
      <c r="I655" s="2" t="n">
        <v>69</v>
      </c>
      <c r="J655" s="2">
        <f>IFERROR(VLOOKUP(H655,'Grade Scale'!$A:$B,2,FALSE),0)</f>
        <v/>
      </c>
      <c r="K655" s="2">
        <f>J655*G655</f>
        <v/>
      </c>
      <c r="L655" s="2">
        <f>IF(H655="F",0,G655)</f>
        <v/>
      </c>
    </row>
    <row r="656">
      <c r="A656" s="2" t="inlineStr">
        <is>
          <t>m250217</t>
        </is>
      </c>
      <c r="B656" s="2">
        <f>IFERROR(VLOOKUP(A656,Students!$A:$B,2,FALSE),"")</f>
        <v/>
      </c>
      <c r="C656" s="2" t="inlineStr">
        <is>
          <t>Fall 2025</t>
        </is>
      </c>
      <c r="D656" s="2" t="inlineStr">
        <is>
          <t>Semester 2</t>
        </is>
      </c>
      <c r="E656" s="2" t="inlineStr">
        <is>
          <t>DSC 590</t>
        </is>
      </c>
      <c r="F656" s="2">
        <f>IFERROR(VLOOKUP(E656,Courses!$A:$C,2,FALSE),"")</f>
        <v/>
      </c>
      <c r="G656" s="2">
        <f>IFERROR(VLOOKUP(E656,Courses!$A:$C,3,FALSE),0)</f>
        <v/>
      </c>
      <c r="H656" s="2" t="inlineStr">
        <is>
          <t>B-</t>
        </is>
      </c>
      <c r="I656" s="2" t="n">
        <v>82</v>
      </c>
      <c r="J656" s="2">
        <f>IFERROR(VLOOKUP(H656,'Grade Scale'!$A:$B,2,FALSE),0)</f>
        <v/>
      </c>
      <c r="K656" s="2">
        <f>J656*G656</f>
        <v/>
      </c>
      <c r="L656" s="2">
        <f>IF(H656="F",0,G656)</f>
        <v/>
      </c>
    </row>
    <row r="657">
      <c r="A657" s="2" t="inlineStr">
        <is>
          <t>m250313</t>
        </is>
      </c>
      <c r="B657" s="2">
        <f>IFERROR(VLOOKUP(A657,Students!$A:$B,2,FALSE),"")</f>
        <v/>
      </c>
      <c r="C657" s="2" t="inlineStr">
        <is>
          <t>Fall 2025</t>
        </is>
      </c>
      <c r="D657" s="2" t="inlineStr">
        <is>
          <t>Semester 1</t>
        </is>
      </c>
      <c r="E657" s="2" t="inlineStr">
        <is>
          <t>ECO 101</t>
        </is>
      </c>
      <c r="F657" s="2">
        <f>IFERROR(VLOOKUP(E657,Courses!$A:$C,2,FALSE),"")</f>
        <v/>
      </c>
      <c r="G657" s="2">
        <f>IFERROR(VLOOKUP(E657,Courses!$A:$C,3,FALSE),0)</f>
        <v/>
      </c>
      <c r="H657" s="2" t="inlineStr">
        <is>
          <t>B</t>
        </is>
      </c>
      <c r="I657" s="2" t="n">
        <v>86</v>
      </c>
      <c r="J657" s="2">
        <f>IFERROR(VLOOKUP(H657,'Grade Scale'!$A:$B,2,FALSE),0)</f>
        <v/>
      </c>
      <c r="K657" s="2">
        <f>J657*G657</f>
        <v/>
      </c>
      <c r="L657" s="2">
        <f>IF(H657="F",0,G657)</f>
        <v/>
      </c>
    </row>
    <row r="658">
      <c r="A658" s="2" t="inlineStr">
        <is>
          <t>m250313</t>
        </is>
      </c>
      <c r="B658" s="2">
        <f>IFERROR(VLOOKUP(A658,Students!$A:$B,2,FALSE),"")</f>
        <v/>
      </c>
      <c r="C658" s="2" t="inlineStr">
        <is>
          <t>Fall 2025</t>
        </is>
      </c>
      <c r="D658" s="2" t="inlineStr">
        <is>
          <t>Semester 1</t>
        </is>
      </c>
      <c r="E658" s="2" t="inlineStr">
        <is>
          <t>ACC 101</t>
        </is>
      </c>
      <c r="F658" s="2">
        <f>IFERROR(VLOOKUP(E658,Courses!$A:$C,2,FALSE),"")</f>
        <v/>
      </c>
      <c r="G658" s="2">
        <f>IFERROR(VLOOKUP(E658,Courses!$A:$C,3,FALSE),0)</f>
        <v/>
      </c>
      <c r="H658" s="2" t="inlineStr">
        <is>
          <t>A</t>
        </is>
      </c>
      <c r="I658" s="2" t="n">
        <v>100</v>
      </c>
      <c r="J658" s="2">
        <f>IFERROR(VLOOKUP(H658,'Grade Scale'!$A:$B,2,FALSE),0)</f>
        <v/>
      </c>
      <c r="K658" s="2">
        <f>J658*G658</f>
        <v/>
      </c>
      <c r="L658" s="2">
        <f>IF(H658="F",0,G658)</f>
        <v/>
      </c>
    </row>
    <row r="659">
      <c r="A659" s="2" t="inlineStr">
        <is>
          <t>m250313</t>
        </is>
      </c>
      <c r="B659" s="2">
        <f>IFERROR(VLOOKUP(A659,Students!$A:$B,2,FALSE),"")</f>
        <v/>
      </c>
      <c r="C659" s="2" t="inlineStr">
        <is>
          <t>Fall 2025</t>
        </is>
      </c>
      <c r="D659" s="2" t="inlineStr">
        <is>
          <t>Semester 1</t>
        </is>
      </c>
      <c r="E659" s="2" t="inlineStr">
        <is>
          <t>MTH 105</t>
        </is>
      </c>
      <c r="F659" s="2">
        <f>IFERROR(VLOOKUP(E659,Courses!$A:$C,2,FALSE),"")</f>
        <v/>
      </c>
      <c r="G659" s="2">
        <f>IFERROR(VLOOKUP(E659,Courses!$A:$C,3,FALSE),0)</f>
        <v/>
      </c>
      <c r="H659" s="2" t="inlineStr">
        <is>
          <t>A</t>
        </is>
      </c>
      <c r="I659" s="2" t="n">
        <v>96</v>
      </c>
      <c r="J659" s="2">
        <f>IFERROR(VLOOKUP(H659,'Grade Scale'!$A:$B,2,FALSE),0)</f>
        <v/>
      </c>
      <c r="K659" s="2">
        <f>J659*G659</f>
        <v/>
      </c>
      <c r="L659" s="2">
        <f>IF(H659="F",0,G659)</f>
        <v/>
      </c>
    </row>
    <row r="660">
      <c r="A660" s="2" t="inlineStr">
        <is>
          <t>m250313</t>
        </is>
      </c>
      <c r="B660" s="2">
        <f>IFERROR(VLOOKUP(A660,Students!$A:$B,2,FALSE),"")</f>
        <v/>
      </c>
      <c r="C660" s="2" t="inlineStr">
        <is>
          <t>Fall 2025</t>
        </is>
      </c>
      <c r="D660" s="2" t="inlineStr">
        <is>
          <t>Semester 1</t>
        </is>
      </c>
      <c r="E660" s="2" t="inlineStr">
        <is>
          <t>ENG 101</t>
        </is>
      </c>
      <c r="F660" s="2">
        <f>IFERROR(VLOOKUP(E660,Courses!$A:$C,2,FALSE),"")</f>
        <v/>
      </c>
      <c r="G660" s="2">
        <f>IFERROR(VLOOKUP(E660,Courses!$A:$C,3,FALSE),0)</f>
        <v/>
      </c>
      <c r="H660" s="2" t="inlineStr">
        <is>
          <t>B+</t>
        </is>
      </c>
      <c r="I660" s="2" t="n">
        <v>89</v>
      </c>
      <c r="J660" s="2">
        <f>IFERROR(VLOOKUP(H660,'Grade Scale'!$A:$B,2,FALSE),0)</f>
        <v/>
      </c>
      <c r="K660" s="2">
        <f>J660*G660</f>
        <v/>
      </c>
      <c r="L660" s="2">
        <f>IF(H660="F",0,G660)</f>
        <v/>
      </c>
    </row>
    <row r="661">
      <c r="A661" s="2" t="inlineStr">
        <is>
          <t>m250313</t>
        </is>
      </c>
      <c r="B661" s="2">
        <f>IFERROR(VLOOKUP(A661,Students!$A:$B,2,FALSE),"")</f>
        <v/>
      </c>
      <c r="C661" s="2" t="inlineStr">
        <is>
          <t>Fall 2025</t>
        </is>
      </c>
      <c r="D661" s="2" t="inlineStr">
        <is>
          <t>Semester 1</t>
        </is>
      </c>
      <c r="E661" s="2" t="inlineStr">
        <is>
          <t>FIN 100</t>
        </is>
      </c>
      <c r="F661" s="2">
        <f>IFERROR(VLOOKUP(E661,Courses!$A:$C,2,FALSE),"")</f>
        <v/>
      </c>
      <c r="G661" s="2">
        <f>IFERROR(VLOOKUP(E661,Courses!$A:$C,3,FALSE),0)</f>
        <v/>
      </c>
      <c r="H661" s="2" t="inlineStr">
        <is>
          <t>B</t>
        </is>
      </c>
      <c r="I661" s="2" t="n">
        <v>86</v>
      </c>
      <c r="J661" s="2">
        <f>IFERROR(VLOOKUP(H661,'Grade Scale'!$A:$B,2,FALSE),0)</f>
        <v/>
      </c>
      <c r="K661" s="2">
        <f>J661*G661</f>
        <v/>
      </c>
      <c r="L661" s="2">
        <f>IF(H661="F",0,G661)</f>
        <v/>
      </c>
    </row>
    <row r="662">
      <c r="A662" s="2" t="inlineStr">
        <is>
          <t>m250313</t>
        </is>
      </c>
      <c r="B662" s="2">
        <f>IFERROR(VLOOKUP(A662,Students!$A:$B,2,FALSE),"")</f>
        <v/>
      </c>
      <c r="C662" s="2" t="inlineStr">
        <is>
          <t>Spring 2026</t>
        </is>
      </c>
      <c r="D662" s="2" t="inlineStr">
        <is>
          <t>Semester 2</t>
        </is>
      </c>
      <c r="E662" s="2" t="inlineStr">
        <is>
          <t>ECO 102</t>
        </is>
      </c>
      <c r="F662" s="2">
        <f>IFERROR(VLOOKUP(E662,Courses!$A:$C,2,FALSE),"")</f>
        <v/>
      </c>
      <c r="G662" s="2">
        <f>IFERROR(VLOOKUP(E662,Courses!$A:$C,3,FALSE),0)</f>
        <v/>
      </c>
      <c r="H662" s="2" t="inlineStr">
        <is>
          <t>A</t>
        </is>
      </c>
      <c r="I662" s="2" t="n">
        <v>97</v>
      </c>
      <c r="J662" s="2">
        <f>IFERROR(VLOOKUP(H662,'Grade Scale'!$A:$B,2,FALSE),0)</f>
        <v/>
      </c>
      <c r="K662" s="2">
        <f>J662*G662</f>
        <v/>
      </c>
      <c r="L662" s="2">
        <f>IF(H662="F",0,G662)</f>
        <v/>
      </c>
    </row>
    <row r="663">
      <c r="A663" s="2" t="inlineStr">
        <is>
          <t>m250313</t>
        </is>
      </c>
      <c r="B663" s="2">
        <f>IFERROR(VLOOKUP(A663,Students!$A:$B,2,FALSE),"")</f>
        <v/>
      </c>
      <c r="C663" s="2" t="inlineStr">
        <is>
          <t>Spring 2026</t>
        </is>
      </c>
      <c r="D663" s="2" t="inlineStr">
        <is>
          <t>Semester 2</t>
        </is>
      </c>
      <c r="E663" s="2" t="inlineStr">
        <is>
          <t>ACC 102</t>
        </is>
      </c>
      <c r="F663" s="2">
        <f>IFERROR(VLOOKUP(E663,Courses!$A:$C,2,FALSE),"")</f>
        <v/>
      </c>
      <c r="G663" s="2">
        <f>IFERROR(VLOOKUP(E663,Courses!$A:$C,3,FALSE),0)</f>
        <v/>
      </c>
      <c r="H663" s="2" t="inlineStr">
        <is>
          <t>A</t>
        </is>
      </c>
      <c r="I663" s="2" t="n">
        <v>94</v>
      </c>
      <c r="J663" s="2">
        <f>IFERROR(VLOOKUP(H663,'Grade Scale'!$A:$B,2,FALSE),0)</f>
        <v/>
      </c>
      <c r="K663" s="2">
        <f>J663*G663</f>
        <v/>
      </c>
      <c r="L663" s="2">
        <f>IF(H663="F",0,G663)</f>
        <v/>
      </c>
    </row>
    <row r="664">
      <c r="A664" s="2" t="inlineStr">
        <is>
          <t>m250313</t>
        </is>
      </c>
      <c r="B664" s="2">
        <f>IFERROR(VLOOKUP(A664,Students!$A:$B,2,FALSE),"")</f>
        <v/>
      </c>
      <c r="C664" s="2" t="inlineStr">
        <is>
          <t>Spring 2026</t>
        </is>
      </c>
      <c r="D664" s="2" t="inlineStr">
        <is>
          <t>Semester 2</t>
        </is>
      </c>
      <c r="E664" s="2" t="inlineStr">
        <is>
          <t>STA 110</t>
        </is>
      </c>
      <c r="F664" s="2">
        <f>IFERROR(VLOOKUP(E664,Courses!$A:$C,2,FALSE),"")</f>
        <v/>
      </c>
      <c r="G664" s="2">
        <f>IFERROR(VLOOKUP(E664,Courses!$A:$C,3,FALSE),0)</f>
        <v/>
      </c>
      <c r="H664" s="2" t="inlineStr">
        <is>
          <t>B</t>
        </is>
      </c>
      <c r="I664" s="2" t="n">
        <v>86</v>
      </c>
      <c r="J664" s="2">
        <f>IFERROR(VLOOKUP(H664,'Grade Scale'!$A:$B,2,FALSE),0)</f>
        <v/>
      </c>
      <c r="K664" s="2">
        <f>J664*G664</f>
        <v/>
      </c>
      <c r="L664" s="2">
        <f>IF(H664="F",0,G664)</f>
        <v/>
      </c>
    </row>
    <row r="665">
      <c r="A665" s="2" t="inlineStr">
        <is>
          <t>m250313</t>
        </is>
      </c>
      <c r="B665" s="2">
        <f>IFERROR(VLOOKUP(A665,Students!$A:$B,2,FALSE),"")</f>
        <v/>
      </c>
      <c r="C665" s="2" t="inlineStr">
        <is>
          <t>Spring 2026</t>
        </is>
      </c>
      <c r="D665" s="2" t="inlineStr">
        <is>
          <t>Semester 2</t>
        </is>
      </c>
      <c r="E665" s="2" t="inlineStr">
        <is>
          <t>ENG 102</t>
        </is>
      </c>
      <c r="F665" s="2">
        <f>IFERROR(VLOOKUP(E665,Courses!$A:$C,2,FALSE),"")</f>
        <v/>
      </c>
      <c r="G665" s="2">
        <f>IFERROR(VLOOKUP(E665,Courses!$A:$C,3,FALSE),0)</f>
        <v/>
      </c>
      <c r="H665" s="2" t="inlineStr">
        <is>
          <t>B+</t>
        </is>
      </c>
      <c r="I665" s="2" t="n">
        <v>87</v>
      </c>
      <c r="J665" s="2">
        <f>IFERROR(VLOOKUP(H665,'Grade Scale'!$A:$B,2,FALSE),0)</f>
        <v/>
      </c>
      <c r="K665" s="2">
        <f>J665*G665</f>
        <v/>
      </c>
      <c r="L665" s="2">
        <f>IF(H665="F",0,G665)</f>
        <v/>
      </c>
    </row>
    <row r="666">
      <c r="A666" s="2" t="inlineStr">
        <is>
          <t>m250313</t>
        </is>
      </c>
      <c r="B666" s="2">
        <f>IFERROR(VLOOKUP(A666,Students!$A:$B,2,FALSE),"")</f>
        <v/>
      </c>
      <c r="C666" s="2" t="inlineStr">
        <is>
          <t>Spring 2026</t>
        </is>
      </c>
      <c r="D666" s="2" t="inlineStr">
        <is>
          <t>Semester 2</t>
        </is>
      </c>
      <c r="E666" s="2" t="inlineStr">
        <is>
          <t>FIN 150</t>
        </is>
      </c>
      <c r="F666" s="2">
        <f>IFERROR(VLOOKUP(E666,Courses!$A:$C,2,FALSE),"")</f>
        <v/>
      </c>
      <c r="G666" s="2">
        <f>IFERROR(VLOOKUP(E666,Courses!$A:$C,3,FALSE),0)</f>
        <v/>
      </c>
      <c r="H666" s="2" t="inlineStr">
        <is>
          <t>A</t>
        </is>
      </c>
      <c r="I666" s="2" t="n">
        <v>93</v>
      </c>
      <c r="J666" s="2">
        <f>IFERROR(VLOOKUP(H666,'Grade Scale'!$A:$B,2,FALSE),0)</f>
        <v/>
      </c>
      <c r="K666" s="2">
        <f>J666*G666</f>
        <v/>
      </c>
      <c r="L666" s="2">
        <f>IF(H666="F",0,G666)</f>
        <v/>
      </c>
    </row>
    <row r="667">
      <c r="A667" s="2" t="inlineStr">
        <is>
          <t>m240116</t>
        </is>
      </c>
      <c r="B667" s="2">
        <f>IFERROR(VLOOKUP(A667,Students!$A:$B,2,FALSE),"")</f>
        <v/>
      </c>
      <c r="C667" s="2" t="inlineStr">
        <is>
          <t>Fall 2024</t>
        </is>
      </c>
      <c r="D667" s="2" t="inlineStr">
        <is>
          <t>Semester 1</t>
        </is>
      </c>
      <c r="E667" s="2" t="inlineStr">
        <is>
          <t>IRL 501</t>
        </is>
      </c>
      <c r="F667" s="2">
        <f>IFERROR(VLOOKUP(E667,Courses!$A:$C,2,FALSE),"")</f>
        <v/>
      </c>
      <c r="G667" s="2">
        <f>IFERROR(VLOOKUP(E667,Courses!$A:$C,3,FALSE),0)</f>
        <v/>
      </c>
      <c r="H667" s="2" t="inlineStr">
        <is>
          <t>A</t>
        </is>
      </c>
      <c r="I667" s="2" t="n">
        <v>93</v>
      </c>
      <c r="J667" s="2">
        <f>IFERROR(VLOOKUP(H667,'Grade Scale'!$A:$B,2,FALSE),0)</f>
        <v/>
      </c>
      <c r="K667" s="2">
        <f>J667*G667</f>
        <v/>
      </c>
      <c r="L667" s="2">
        <f>IF(H667="F",0,G667)</f>
        <v/>
      </c>
    </row>
    <row r="668">
      <c r="A668" s="2" t="inlineStr">
        <is>
          <t>m240116</t>
        </is>
      </c>
      <c r="B668" s="2">
        <f>IFERROR(VLOOKUP(A668,Students!$A:$B,2,FALSE),"")</f>
        <v/>
      </c>
      <c r="C668" s="2" t="inlineStr">
        <is>
          <t>Fall 2024</t>
        </is>
      </c>
      <c r="D668" s="2" t="inlineStr">
        <is>
          <t>Semester 1</t>
        </is>
      </c>
      <c r="E668" s="2" t="inlineStr">
        <is>
          <t>IRL 510</t>
        </is>
      </c>
      <c r="F668" s="2">
        <f>IFERROR(VLOOKUP(E668,Courses!$A:$C,2,FALSE),"")</f>
        <v/>
      </c>
      <c r="G668" s="2">
        <f>IFERROR(VLOOKUP(E668,Courses!$A:$C,3,FALSE),0)</f>
        <v/>
      </c>
      <c r="H668" s="2" t="inlineStr">
        <is>
          <t>A-</t>
        </is>
      </c>
      <c r="I668" s="2" t="n">
        <v>90</v>
      </c>
      <c r="J668" s="2">
        <f>IFERROR(VLOOKUP(H668,'Grade Scale'!$A:$B,2,FALSE),0)</f>
        <v/>
      </c>
      <c r="K668" s="2">
        <f>J668*G668</f>
        <v/>
      </c>
      <c r="L668" s="2">
        <f>IF(H668="F",0,G668)</f>
        <v/>
      </c>
    </row>
    <row r="669">
      <c r="A669" s="2" t="inlineStr">
        <is>
          <t>m240116</t>
        </is>
      </c>
      <c r="B669" s="2">
        <f>IFERROR(VLOOKUP(A669,Students!$A:$B,2,FALSE),"")</f>
        <v/>
      </c>
      <c r="C669" s="2" t="inlineStr">
        <is>
          <t>Fall 2024</t>
        </is>
      </c>
      <c r="D669" s="2" t="inlineStr">
        <is>
          <t>Semester 1</t>
        </is>
      </c>
      <c r="E669" s="2" t="inlineStr">
        <is>
          <t>IRL 520</t>
        </is>
      </c>
      <c r="F669" s="2">
        <f>IFERROR(VLOOKUP(E669,Courses!$A:$C,2,FALSE),"")</f>
        <v/>
      </c>
      <c r="G669" s="2">
        <f>IFERROR(VLOOKUP(E669,Courses!$A:$C,3,FALSE),0)</f>
        <v/>
      </c>
      <c r="H669" s="2" t="inlineStr">
        <is>
          <t>A</t>
        </is>
      </c>
      <c r="I669" s="2" t="n">
        <v>99</v>
      </c>
      <c r="J669" s="2">
        <f>IFERROR(VLOOKUP(H669,'Grade Scale'!$A:$B,2,FALSE),0)</f>
        <v/>
      </c>
      <c r="K669" s="2">
        <f>J669*G669</f>
        <v/>
      </c>
      <c r="L669" s="2">
        <f>IF(H669="F",0,G669)</f>
        <v/>
      </c>
    </row>
    <row r="670">
      <c r="A670" s="2" t="inlineStr">
        <is>
          <t>m240116</t>
        </is>
      </c>
      <c r="B670" s="2">
        <f>IFERROR(VLOOKUP(A670,Students!$A:$B,2,FALSE),"")</f>
        <v/>
      </c>
      <c r="C670" s="2" t="inlineStr">
        <is>
          <t>Fall 2024</t>
        </is>
      </c>
      <c r="D670" s="2" t="inlineStr">
        <is>
          <t>Semester 1</t>
        </is>
      </c>
      <c r="E670" s="2" t="inlineStr">
        <is>
          <t>IRL 530</t>
        </is>
      </c>
      <c r="F670" s="2">
        <f>IFERROR(VLOOKUP(E670,Courses!$A:$C,2,FALSE),"")</f>
        <v/>
      </c>
      <c r="G670" s="2">
        <f>IFERROR(VLOOKUP(E670,Courses!$A:$C,3,FALSE),0)</f>
        <v/>
      </c>
      <c r="H670" s="2" t="inlineStr">
        <is>
          <t>B</t>
        </is>
      </c>
      <c r="I670" s="2" t="n">
        <v>86</v>
      </c>
      <c r="J670" s="2">
        <f>IFERROR(VLOOKUP(H670,'Grade Scale'!$A:$B,2,FALSE),0)</f>
        <v/>
      </c>
      <c r="K670" s="2">
        <f>J670*G670</f>
        <v/>
      </c>
      <c r="L670" s="2">
        <f>IF(H670="F",0,G670)</f>
        <v/>
      </c>
    </row>
    <row r="671">
      <c r="A671" s="2" t="inlineStr">
        <is>
          <t>m240116</t>
        </is>
      </c>
      <c r="B671" s="2">
        <f>IFERROR(VLOOKUP(A671,Students!$A:$B,2,FALSE),"")</f>
        <v/>
      </c>
      <c r="C671" s="2" t="inlineStr">
        <is>
          <t>Fall 2024</t>
        </is>
      </c>
      <c r="D671" s="2" t="inlineStr">
        <is>
          <t>Semester 1</t>
        </is>
      </c>
      <c r="E671" s="2" t="inlineStr">
        <is>
          <t>IRL 540</t>
        </is>
      </c>
      <c r="F671" s="2">
        <f>IFERROR(VLOOKUP(E671,Courses!$A:$C,2,FALSE),"")</f>
        <v/>
      </c>
      <c r="G671" s="2">
        <f>IFERROR(VLOOKUP(E671,Courses!$A:$C,3,FALSE),0)</f>
        <v/>
      </c>
      <c r="H671" s="2" t="inlineStr">
        <is>
          <t>B</t>
        </is>
      </c>
      <c r="I671" s="2" t="n">
        <v>85</v>
      </c>
      <c r="J671" s="2">
        <f>IFERROR(VLOOKUP(H671,'Grade Scale'!$A:$B,2,FALSE),0)</f>
        <v/>
      </c>
      <c r="K671" s="2">
        <f>J671*G671</f>
        <v/>
      </c>
      <c r="L671" s="2">
        <f>IF(H671="F",0,G671)</f>
        <v/>
      </c>
    </row>
    <row r="672">
      <c r="A672" s="2" t="inlineStr">
        <is>
          <t>m240116</t>
        </is>
      </c>
      <c r="B672" s="2">
        <f>IFERROR(VLOOKUP(A672,Students!$A:$B,2,FALSE),"")</f>
        <v/>
      </c>
      <c r="C672" s="2" t="inlineStr">
        <is>
          <t>Spring 2025</t>
        </is>
      </c>
      <c r="D672" s="2" t="inlineStr">
        <is>
          <t>Semester 2</t>
        </is>
      </c>
      <c r="E672" s="2" t="inlineStr">
        <is>
          <t>IRL 550</t>
        </is>
      </c>
      <c r="F672" s="2">
        <f>IFERROR(VLOOKUP(E672,Courses!$A:$C,2,FALSE),"")</f>
        <v/>
      </c>
      <c r="G672" s="2">
        <f>IFERROR(VLOOKUP(E672,Courses!$A:$C,3,FALSE),0)</f>
        <v/>
      </c>
      <c r="H672" s="2" t="inlineStr">
        <is>
          <t>A</t>
        </is>
      </c>
      <c r="I672" s="2" t="n">
        <v>94</v>
      </c>
      <c r="J672" s="2">
        <f>IFERROR(VLOOKUP(H672,'Grade Scale'!$A:$B,2,FALSE),0)</f>
        <v/>
      </c>
      <c r="K672" s="2">
        <f>J672*G672</f>
        <v/>
      </c>
      <c r="L672" s="2">
        <f>IF(H672="F",0,G672)</f>
        <v/>
      </c>
    </row>
    <row r="673">
      <c r="A673" s="2" t="inlineStr">
        <is>
          <t>m240116</t>
        </is>
      </c>
      <c r="B673" s="2">
        <f>IFERROR(VLOOKUP(A673,Students!$A:$B,2,FALSE),"")</f>
        <v/>
      </c>
      <c r="C673" s="2" t="inlineStr">
        <is>
          <t>Spring 2025</t>
        </is>
      </c>
      <c r="D673" s="2" t="inlineStr">
        <is>
          <t>Semester 2</t>
        </is>
      </c>
      <c r="E673" s="2" t="inlineStr">
        <is>
          <t>IRL 560</t>
        </is>
      </c>
      <c r="F673" s="2">
        <f>IFERROR(VLOOKUP(E673,Courses!$A:$C,2,FALSE),"")</f>
        <v/>
      </c>
      <c r="G673" s="2">
        <f>IFERROR(VLOOKUP(E673,Courses!$A:$C,3,FALSE),0)</f>
        <v/>
      </c>
      <c r="H673" s="2" t="inlineStr">
        <is>
          <t>B</t>
        </is>
      </c>
      <c r="I673" s="2" t="n">
        <v>83</v>
      </c>
      <c r="J673" s="2">
        <f>IFERROR(VLOOKUP(H673,'Grade Scale'!$A:$B,2,FALSE),0)</f>
        <v/>
      </c>
      <c r="K673" s="2">
        <f>J673*G673</f>
        <v/>
      </c>
      <c r="L673" s="2">
        <f>IF(H673="F",0,G673)</f>
        <v/>
      </c>
    </row>
    <row r="674">
      <c r="A674" s="2" t="inlineStr">
        <is>
          <t>m240116</t>
        </is>
      </c>
      <c r="B674" s="2">
        <f>IFERROR(VLOOKUP(A674,Students!$A:$B,2,FALSE),"")</f>
        <v/>
      </c>
      <c r="C674" s="2" t="inlineStr">
        <is>
          <t>Spring 2025</t>
        </is>
      </c>
      <c r="D674" s="2" t="inlineStr">
        <is>
          <t>Semester 2</t>
        </is>
      </c>
      <c r="E674" s="2" t="inlineStr">
        <is>
          <t>IRL 570</t>
        </is>
      </c>
      <c r="F674" s="2">
        <f>IFERROR(VLOOKUP(E674,Courses!$A:$C,2,FALSE),"")</f>
        <v/>
      </c>
      <c r="G674" s="2">
        <f>IFERROR(VLOOKUP(E674,Courses!$A:$C,3,FALSE),0)</f>
        <v/>
      </c>
      <c r="H674" s="2" t="inlineStr">
        <is>
          <t>A</t>
        </is>
      </c>
      <c r="I674" s="2" t="n">
        <v>94</v>
      </c>
      <c r="J674" s="2">
        <f>IFERROR(VLOOKUP(H674,'Grade Scale'!$A:$B,2,FALSE),0)</f>
        <v/>
      </c>
      <c r="K674" s="2">
        <f>J674*G674</f>
        <v/>
      </c>
      <c r="L674" s="2">
        <f>IF(H674="F",0,G674)</f>
        <v/>
      </c>
    </row>
    <row r="675">
      <c r="A675" s="2" t="inlineStr">
        <is>
          <t>m240116</t>
        </is>
      </c>
      <c r="B675" s="2">
        <f>IFERROR(VLOOKUP(A675,Students!$A:$B,2,FALSE),"")</f>
        <v/>
      </c>
      <c r="C675" s="2" t="inlineStr">
        <is>
          <t>Spring 2025</t>
        </is>
      </c>
      <c r="D675" s="2" t="inlineStr">
        <is>
          <t>Semester 2</t>
        </is>
      </c>
      <c r="E675" s="2" t="inlineStr">
        <is>
          <t>IRL 580</t>
        </is>
      </c>
      <c r="F675" s="2">
        <f>IFERROR(VLOOKUP(E675,Courses!$A:$C,2,FALSE),"")</f>
        <v/>
      </c>
      <c r="G675" s="2">
        <f>IFERROR(VLOOKUP(E675,Courses!$A:$C,3,FALSE),0)</f>
        <v/>
      </c>
      <c r="H675" s="2" t="inlineStr">
        <is>
          <t>B-</t>
        </is>
      </c>
      <c r="I675" s="2" t="n">
        <v>80</v>
      </c>
      <c r="J675" s="2">
        <f>IFERROR(VLOOKUP(H675,'Grade Scale'!$A:$B,2,FALSE),0)</f>
        <v/>
      </c>
      <c r="K675" s="2">
        <f>J675*G675</f>
        <v/>
      </c>
      <c r="L675" s="2">
        <f>IF(H675="F",0,G675)</f>
        <v/>
      </c>
    </row>
    <row r="676">
      <c r="A676" s="2" t="inlineStr">
        <is>
          <t>m240116</t>
        </is>
      </c>
      <c r="B676" s="2">
        <f>IFERROR(VLOOKUP(A676,Students!$A:$B,2,FALSE),"")</f>
        <v/>
      </c>
      <c r="C676" s="2" t="inlineStr">
        <is>
          <t>Spring 2025</t>
        </is>
      </c>
      <c r="D676" s="2" t="inlineStr">
        <is>
          <t>Semester 2</t>
        </is>
      </c>
      <c r="E676" s="2" t="inlineStr">
        <is>
          <t>IRL 590</t>
        </is>
      </c>
      <c r="F676" s="2">
        <f>IFERROR(VLOOKUP(E676,Courses!$A:$C,2,FALSE),"")</f>
        <v/>
      </c>
      <c r="G676" s="2">
        <f>IFERROR(VLOOKUP(E676,Courses!$A:$C,3,FALSE),0)</f>
        <v/>
      </c>
      <c r="H676" s="2" t="inlineStr">
        <is>
          <t>B</t>
        </is>
      </c>
      <c r="I676" s="2" t="n">
        <v>84</v>
      </c>
      <c r="J676" s="2">
        <f>IFERROR(VLOOKUP(H676,'Grade Scale'!$A:$B,2,FALSE),0)</f>
        <v/>
      </c>
      <c r="K676" s="2">
        <f>J676*G676</f>
        <v/>
      </c>
      <c r="L676" s="2">
        <f>IF(H676="F",0,G676)</f>
        <v/>
      </c>
    </row>
    <row r="677">
      <c r="A677" s="2" t="inlineStr">
        <is>
          <t>m240116</t>
        </is>
      </c>
      <c r="B677" s="2">
        <f>IFERROR(VLOOKUP(A677,Students!$A:$B,2,FALSE),"")</f>
        <v/>
      </c>
      <c r="C677" s="2" t="inlineStr">
        <is>
          <t>Fall 2025</t>
        </is>
      </c>
      <c r="D677" s="2" t="inlineStr">
        <is>
          <t>Semester 3</t>
        </is>
      </c>
      <c r="E677" s="2" t="inlineStr">
        <is>
          <t>IRL 610</t>
        </is>
      </c>
      <c r="F677" s="2">
        <f>IFERROR(VLOOKUP(E677,Courses!$A:$C,2,FALSE),"")</f>
        <v/>
      </c>
      <c r="G677" s="2">
        <f>IFERROR(VLOOKUP(E677,Courses!$A:$C,3,FALSE),0)</f>
        <v/>
      </c>
      <c r="H677" s="2" t="inlineStr">
        <is>
          <t>A-</t>
        </is>
      </c>
      <c r="I677" s="2" t="n">
        <v>91</v>
      </c>
      <c r="J677" s="2">
        <f>IFERROR(VLOOKUP(H677,'Grade Scale'!$A:$B,2,FALSE),0)</f>
        <v/>
      </c>
      <c r="K677" s="2">
        <f>J677*G677</f>
        <v/>
      </c>
      <c r="L677" s="2">
        <f>IF(H677="F",0,G677)</f>
        <v/>
      </c>
    </row>
    <row r="678">
      <c r="A678" s="2" t="inlineStr">
        <is>
          <t>m240116</t>
        </is>
      </c>
      <c r="B678" s="2">
        <f>IFERROR(VLOOKUP(A678,Students!$A:$B,2,FALSE),"")</f>
        <v/>
      </c>
      <c r="C678" s="2" t="inlineStr">
        <is>
          <t>Fall 2025</t>
        </is>
      </c>
      <c r="D678" s="2" t="inlineStr">
        <is>
          <t>Semester 3</t>
        </is>
      </c>
      <c r="E678" s="2" t="inlineStr">
        <is>
          <t>IRL 620</t>
        </is>
      </c>
      <c r="F678" s="2">
        <f>IFERROR(VLOOKUP(E678,Courses!$A:$C,2,FALSE),"")</f>
        <v/>
      </c>
      <c r="G678" s="2">
        <f>IFERROR(VLOOKUP(E678,Courses!$A:$C,3,FALSE),0)</f>
        <v/>
      </c>
      <c r="H678" s="2" t="inlineStr">
        <is>
          <t>A-</t>
        </is>
      </c>
      <c r="I678" s="2" t="n">
        <v>92</v>
      </c>
      <c r="J678" s="2">
        <f>IFERROR(VLOOKUP(H678,'Grade Scale'!$A:$B,2,FALSE),0)</f>
        <v/>
      </c>
      <c r="K678" s="2">
        <f>J678*G678</f>
        <v/>
      </c>
      <c r="L678" s="2">
        <f>IF(H678="F",0,G678)</f>
        <v/>
      </c>
    </row>
    <row r="679">
      <c r="A679" s="2" t="inlineStr">
        <is>
          <t>m240116</t>
        </is>
      </c>
      <c r="B679" s="2">
        <f>IFERROR(VLOOKUP(A679,Students!$A:$B,2,FALSE),"")</f>
        <v/>
      </c>
      <c r="C679" s="2" t="inlineStr">
        <is>
          <t>Fall 2025</t>
        </is>
      </c>
      <c r="D679" s="2" t="inlineStr">
        <is>
          <t>Semester 3</t>
        </is>
      </c>
      <c r="E679" s="2" t="inlineStr">
        <is>
          <t>IRL 630</t>
        </is>
      </c>
      <c r="F679" s="2">
        <f>IFERROR(VLOOKUP(E679,Courses!$A:$C,2,FALSE),"")</f>
        <v/>
      </c>
      <c r="G679" s="2">
        <f>IFERROR(VLOOKUP(E679,Courses!$A:$C,3,FALSE),0)</f>
        <v/>
      </c>
      <c r="H679" s="2" t="inlineStr">
        <is>
          <t>B</t>
        </is>
      </c>
      <c r="I679" s="2" t="n">
        <v>85</v>
      </c>
      <c r="J679" s="2">
        <f>IFERROR(VLOOKUP(H679,'Grade Scale'!$A:$B,2,FALSE),0)</f>
        <v/>
      </c>
      <c r="K679" s="2">
        <f>J679*G679</f>
        <v/>
      </c>
      <c r="L679" s="2">
        <f>IF(H679="F",0,G679)</f>
        <v/>
      </c>
    </row>
    <row r="680">
      <c r="A680" s="2" t="inlineStr">
        <is>
          <t>m240116</t>
        </is>
      </c>
      <c r="B680" s="2">
        <f>IFERROR(VLOOKUP(A680,Students!$A:$B,2,FALSE),"")</f>
        <v/>
      </c>
      <c r="C680" s="2" t="inlineStr">
        <is>
          <t>Fall 2025</t>
        </is>
      </c>
      <c r="D680" s="2" t="inlineStr">
        <is>
          <t>Semester 3</t>
        </is>
      </c>
      <c r="E680" s="2" t="inlineStr">
        <is>
          <t>IRL 640</t>
        </is>
      </c>
      <c r="F680" s="2">
        <f>IFERROR(VLOOKUP(E680,Courses!$A:$C,2,FALSE),"")</f>
        <v/>
      </c>
      <c r="G680" s="2">
        <f>IFERROR(VLOOKUP(E680,Courses!$A:$C,3,FALSE),0)</f>
        <v/>
      </c>
      <c r="H680" s="2" t="inlineStr">
        <is>
          <t>A</t>
        </is>
      </c>
      <c r="I680" s="2" t="n">
        <v>94</v>
      </c>
      <c r="J680" s="2">
        <f>IFERROR(VLOOKUP(H680,'Grade Scale'!$A:$B,2,FALSE),0)</f>
        <v/>
      </c>
      <c r="K680" s="2">
        <f>J680*G680</f>
        <v/>
      </c>
      <c r="L680" s="2">
        <f>IF(H680="F",0,G680)</f>
        <v/>
      </c>
    </row>
    <row r="681">
      <c r="A681" s="2" t="inlineStr">
        <is>
          <t>m240116</t>
        </is>
      </c>
      <c r="B681" s="2">
        <f>IFERROR(VLOOKUP(A681,Students!$A:$B,2,FALSE),"")</f>
        <v/>
      </c>
      <c r="C681" s="2" t="inlineStr">
        <is>
          <t>Fall 2025</t>
        </is>
      </c>
      <c r="D681" s="2" t="inlineStr">
        <is>
          <t>Semester 3</t>
        </is>
      </c>
      <c r="E681" s="2" t="inlineStr">
        <is>
          <t>IRL 690</t>
        </is>
      </c>
      <c r="F681" s="2">
        <f>IFERROR(VLOOKUP(E681,Courses!$A:$C,2,FALSE),"")</f>
        <v/>
      </c>
      <c r="G681" s="2">
        <f>IFERROR(VLOOKUP(E681,Courses!$A:$C,3,FALSE),0)</f>
        <v/>
      </c>
      <c r="H681" s="2" t="inlineStr">
        <is>
          <t>C+</t>
        </is>
      </c>
      <c r="I681" s="2" t="n">
        <v>77</v>
      </c>
      <c r="J681" s="2">
        <f>IFERROR(VLOOKUP(H681,'Grade Scale'!$A:$B,2,FALSE),0)</f>
        <v/>
      </c>
      <c r="K681" s="2">
        <f>J681*G681</f>
        <v/>
      </c>
      <c r="L681" s="2">
        <f>IF(H681="F",0,G681)</f>
        <v/>
      </c>
    </row>
    <row r="682">
      <c r="A682" s="2" t="inlineStr">
        <is>
          <t>m240116</t>
        </is>
      </c>
      <c r="B682" s="2">
        <f>IFERROR(VLOOKUP(A682,Students!$A:$B,2,FALSE),"")</f>
        <v/>
      </c>
      <c r="C682" s="2" t="inlineStr">
        <is>
          <t>Spring 2026</t>
        </is>
      </c>
      <c r="D682" s="2" t="inlineStr">
        <is>
          <t>Semester 4</t>
        </is>
      </c>
      <c r="E682" s="2" t="inlineStr">
        <is>
          <t>IRL 650</t>
        </is>
      </c>
      <c r="F682" s="2">
        <f>IFERROR(VLOOKUP(E682,Courses!$A:$C,2,FALSE),"")</f>
        <v/>
      </c>
      <c r="G682" s="2">
        <f>IFERROR(VLOOKUP(E682,Courses!$A:$C,3,FALSE),0)</f>
        <v/>
      </c>
      <c r="H682" s="2" t="inlineStr">
        <is>
          <t>B-</t>
        </is>
      </c>
      <c r="I682" s="2" t="n">
        <v>82</v>
      </c>
      <c r="J682" s="2">
        <f>IFERROR(VLOOKUP(H682,'Grade Scale'!$A:$B,2,FALSE),0)</f>
        <v/>
      </c>
      <c r="K682" s="2">
        <f>J682*G682</f>
        <v/>
      </c>
      <c r="L682" s="2">
        <f>IF(H682="F",0,G682)</f>
        <v/>
      </c>
    </row>
    <row r="683">
      <c r="A683" s="2" t="inlineStr">
        <is>
          <t>m240116</t>
        </is>
      </c>
      <c r="B683" s="2">
        <f>IFERROR(VLOOKUP(A683,Students!$A:$B,2,FALSE),"")</f>
        <v/>
      </c>
      <c r="C683" s="2" t="inlineStr">
        <is>
          <t>Spring 2026</t>
        </is>
      </c>
      <c r="D683" s="2" t="inlineStr">
        <is>
          <t>Semester 4</t>
        </is>
      </c>
      <c r="E683" s="2" t="inlineStr">
        <is>
          <t>IRL 660</t>
        </is>
      </c>
      <c r="F683" s="2">
        <f>IFERROR(VLOOKUP(E683,Courses!$A:$C,2,FALSE),"")</f>
        <v/>
      </c>
      <c r="G683" s="2">
        <f>IFERROR(VLOOKUP(E683,Courses!$A:$C,3,FALSE),0)</f>
        <v/>
      </c>
      <c r="H683" s="2" t="inlineStr">
        <is>
          <t>B</t>
        </is>
      </c>
      <c r="I683" s="2" t="n">
        <v>85</v>
      </c>
      <c r="J683" s="2">
        <f>IFERROR(VLOOKUP(H683,'Grade Scale'!$A:$B,2,FALSE),0)</f>
        <v/>
      </c>
      <c r="K683" s="2">
        <f>J683*G683</f>
        <v/>
      </c>
      <c r="L683" s="2">
        <f>IF(H683="F",0,G683)</f>
        <v/>
      </c>
    </row>
    <row r="684">
      <c r="A684" s="2" t="inlineStr">
        <is>
          <t>m240116</t>
        </is>
      </c>
      <c r="B684" s="2">
        <f>IFERROR(VLOOKUP(A684,Students!$A:$B,2,FALSE),"")</f>
        <v/>
      </c>
      <c r="C684" s="2" t="inlineStr">
        <is>
          <t>Spring 2026</t>
        </is>
      </c>
      <c r="D684" s="2" t="inlineStr">
        <is>
          <t>Semester 4</t>
        </is>
      </c>
      <c r="E684" s="2" t="inlineStr">
        <is>
          <t>IRL 670</t>
        </is>
      </c>
      <c r="F684" s="2">
        <f>IFERROR(VLOOKUP(E684,Courses!$A:$C,2,FALSE),"")</f>
        <v/>
      </c>
      <c r="G684" s="2">
        <f>IFERROR(VLOOKUP(E684,Courses!$A:$C,3,FALSE),0)</f>
        <v/>
      </c>
      <c r="H684" s="2" t="inlineStr">
        <is>
          <t>B+</t>
        </is>
      </c>
      <c r="I684" s="2" t="n">
        <v>87</v>
      </c>
      <c r="J684" s="2">
        <f>IFERROR(VLOOKUP(H684,'Grade Scale'!$A:$B,2,FALSE),0)</f>
        <v/>
      </c>
      <c r="K684" s="2">
        <f>J684*G684</f>
        <v/>
      </c>
      <c r="L684" s="2">
        <f>IF(H684="F",0,G684)</f>
        <v/>
      </c>
    </row>
    <row r="685">
      <c r="A685" s="2" t="inlineStr">
        <is>
          <t>m240116</t>
        </is>
      </c>
      <c r="B685" s="2">
        <f>IFERROR(VLOOKUP(A685,Students!$A:$B,2,FALSE),"")</f>
        <v/>
      </c>
      <c r="C685" s="2" t="inlineStr">
        <is>
          <t>Spring 2026</t>
        </is>
      </c>
      <c r="D685" s="2" t="inlineStr">
        <is>
          <t>Semester 4</t>
        </is>
      </c>
      <c r="E685" s="2" t="inlineStr">
        <is>
          <t>IRL 680</t>
        </is>
      </c>
      <c r="F685" s="2">
        <f>IFERROR(VLOOKUP(E685,Courses!$A:$C,2,FALSE),"")</f>
        <v/>
      </c>
      <c r="G685" s="2">
        <f>IFERROR(VLOOKUP(E685,Courses!$A:$C,3,FALSE),0)</f>
        <v/>
      </c>
      <c r="H685" s="2" t="inlineStr">
        <is>
          <t>C+</t>
        </is>
      </c>
      <c r="I685" s="2" t="n">
        <v>78</v>
      </c>
      <c r="J685" s="2">
        <f>IFERROR(VLOOKUP(H685,'Grade Scale'!$A:$B,2,FALSE),0)</f>
        <v/>
      </c>
      <c r="K685" s="2">
        <f>J685*G685</f>
        <v/>
      </c>
      <c r="L685" s="2">
        <f>IF(H685="F",0,G685)</f>
        <v/>
      </c>
    </row>
    <row r="686">
      <c r="A686" s="2" t="inlineStr">
        <is>
          <t>m240116</t>
        </is>
      </c>
      <c r="B686" s="2">
        <f>IFERROR(VLOOKUP(A686,Students!$A:$B,2,FALSE),"")</f>
        <v/>
      </c>
      <c r="C686" s="2" t="inlineStr">
        <is>
          <t>Spring 2026</t>
        </is>
      </c>
      <c r="D686" s="2" t="inlineStr">
        <is>
          <t>Semester 4</t>
        </is>
      </c>
      <c r="E686" s="2" t="inlineStr">
        <is>
          <t>IRL 699</t>
        </is>
      </c>
      <c r="F686" s="2">
        <f>IFERROR(VLOOKUP(E686,Courses!$A:$C,2,FALSE),"")</f>
        <v/>
      </c>
      <c r="G686" s="2">
        <f>IFERROR(VLOOKUP(E686,Courses!$A:$C,3,FALSE),0)</f>
        <v/>
      </c>
      <c r="H686" s="2" t="inlineStr">
        <is>
          <t>A-</t>
        </is>
      </c>
      <c r="I686" s="2" t="n">
        <v>92</v>
      </c>
      <c r="J686" s="2">
        <f>IFERROR(VLOOKUP(H686,'Grade Scale'!$A:$B,2,FALSE),0)</f>
        <v/>
      </c>
      <c r="K686" s="2">
        <f>J686*G686</f>
        <v/>
      </c>
      <c r="L686" s="2">
        <f>IF(H686="F",0,G686)</f>
        <v/>
      </c>
    </row>
    <row r="687">
      <c r="A687" s="2" t="inlineStr">
        <is>
          <t>m250218</t>
        </is>
      </c>
      <c r="B687" s="2">
        <f>IFERROR(VLOOKUP(A687,Students!$A:$B,2,FALSE),"")</f>
        <v/>
      </c>
      <c r="C687" s="2" t="inlineStr">
        <is>
          <t>Spring 2025</t>
        </is>
      </c>
      <c r="D687" s="2" t="inlineStr">
        <is>
          <t>Semester 1</t>
        </is>
      </c>
      <c r="E687" s="2" t="inlineStr">
        <is>
          <t>CIV 101</t>
        </is>
      </c>
      <c r="F687" s="2">
        <f>IFERROR(VLOOKUP(E687,Courses!$A:$C,2,FALSE),"")</f>
        <v/>
      </c>
      <c r="G687" s="2">
        <f>IFERROR(VLOOKUP(E687,Courses!$A:$C,3,FALSE),0)</f>
        <v/>
      </c>
      <c r="H687" s="2" t="inlineStr">
        <is>
          <t>C-</t>
        </is>
      </c>
      <c r="I687" s="2" t="n">
        <v>72</v>
      </c>
      <c r="J687" s="2">
        <f>IFERROR(VLOOKUP(H687,'Grade Scale'!$A:$B,2,FALSE),0)</f>
        <v/>
      </c>
      <c r="K687" s="2">
        <f>J687*G687</f>
        <v/>
      </c>
      <c r="L687" s="2">
        <f>IF(H687="F",0,G687)</f>
        <v/>
      </c>
    </row>
    <row r="688">
      <c r="A688" s="2" t="inlineStr">
        <is>
          <t>m250218</t>
        </is>
      </c>
      <c r="B688" s="2">
        <f>IFERROR(VLOOKUP(A688,Students!$A:$B,2,FALSE),"")</f>
        <v/>
      </c>
      <c r="C688" s="2" t="inlineStr">
        <is>
          <t>Spring 2025</t>
        </is>
      </c>
      <c r="D688" s="2" t="inlineStr">
        <is>
          <t>Semester 1</t>
        </is>
      </c>
      <c r="E688" s="2" t="inlineStr">
        <is>
          <t>MTH 120</t>
        </is>
      </c>
      <c r="F688" s="2">
        <f>IFERROR(VLOOKUP(E688,Courses!$A:$C,2,FALSE),"")</f>
        <v/>
      </c>
      <c r="G688" s="2">
        <f>IFERROR(VLOOKUP(E688,Courses!$A:$C,3,FALSE),0)</f>
        <v/>
      </c>
      <c r="H688" s="2" t="inlineStr">
        <is>
          <t>D+</t>
        </is>
      </c>
      <c r="I688" s="2" t="n">
        <v>67</v>
      </c>
      <c r="J688" s="2">
        <f>IFERROR(VLOOKUP(H688,'Grade Scale'!$A:$B,2,FALSE),0)</f>
        <v/>
      </c>
      <c r="K688" s="2">
        <f>J688*G688</f>
        <v/>
      </c>
      <c r="L688" s="2">
        <f>IF(H688="F",0,G688)</f>
        <v/>
      </c>
    </row>
    <row r="689">
      <c r="A689" s="2" t="inlineStr">
        <is>
          <t>m250218</t>
        </is>
      </c>
      <c r="B689" s="2">
        <f>IFERROR(VLOOKUP(A689,Students!$A:$B,2,FALSE),"")</f>
        <v/>
      </c>
      <c r="C689" s="2" t="inlineStr">
        <is>
          <t>Spring 2025</t>
        </is>
      </c>
      <c r="D689" s="2" t="inlineStr">
        <is>
          <t>Semester 1</t>
        </is>
      </c>
      <c r="E689" s="2" t="inlineStr">
        <is>
          <t>PHY 101</t>
        </is>
      </c>
      <c r="F689" s="2">
        <f>IFERROR(VLOOKUP(E689,Courses!$A:$C,2,FALSE),"")</f>
        <v/>
      </c>
      <c r="G689" s="2">
        <f>IFERROR(VLOOKUP(E689,Courses!$A:$C,3,FALSE),0)</f>
        <v/>
      </c>
      <c r="H689" s="2" t="inlineStr">
        <is>
          <t>D+</t>
        </is>
      </c>
      <c r="I689" s="2" t="n">
        <v>68</v>
      </c>
      <c r="J689" s="2">
        <f>IFERROR(VLOOKUP(H689,'Grade Scale'!$A:$B,2,FALSE),0)</f>
        <v/>
      </c>
      <c r="K689" s="2">
        <f>J689*G689</f>
        <v/>
      </c>
      <c r="L689" s="2">
        <f>IF(H689="F",0,G689)</f>
        <v/>
      </c>
    </row>
    <row r="690">
      <c r="A690" s="2" t="inlineStr">
        <is>
          <t>m250218</t>
        </is>
      </c>
      <c r="B690" s="2">
        <f>IFERROR(VLOOKUP(A690,Students!$A:$B,2,FALSE),"")</f>
        <v/>
      </c>
      <c r="C690" s="2" t="inlineStr">
        <is>
          <t>Spring 2025</t>
        </is>
      </c>
      <c r="D690" s="2" t="inlineStr">
        <is>
          <t>Semester 1</t>
        </is>
      </c>
      <c r="E690" s="2" t="inlineStr">
        <is>
          <t>ENG 101</t>
        </is>
      </c>
      <c r="F690" s="2">
        <f>IFERROR(VLOOKUP(E690,Courses!$A:$C,2,FALSE),"")</f>
        <v/>
      </c>
      <c r="G690" s="2">
        <f>IFERROR(VLOOKUP(E690,Courses!$A:$C,3,FALSE),0)</f>
        <v/>
      </c>
      <c r="H690" s="2" t="inlineStr">
        <is>
          <t>B-</t>
        </is>
      </c>
      <c r="I690" s="2" t="n">
        <v>81</v>
      </c>
      <c r="J690" s="2">
        <f>IFERROR(VLOOKUP(H690,'Grade Scale'!$A:$B,2,FALSE),0)</f>
        <v/>
      </c>
      <c r="K690" s="2">
        <f>J690*G690</f>
        <v/>
      </c>
      <c r="L690" s="2">
        <f>IF(H690="F",0,G690)</f>
        <v/>
      </c>
    </row>
    <row r="691">
      <c r="A691" s="2" t="inlineStr">
        <is>
          <t>m250218</t>
        </is>
      </c>
      <c r="B691" s="2">
        <f>IFERROR(VLOOKUP(A691,Students!$A:$B,2,FALSE),"")</f>
        <v/>
      </c>
      <c r="C691" s="2" t="inlineStr">
        <is>
          <t>Spring 2025</t>
        </is>
      </c>
      <c r="D691" s="2" t="inlineStr">
        <is>
          <t>Semester 1</t>
        </is>
      </c>
      <c r="E691" s="2" t="inlineStr">
        <is>
          <t>CHM 101</t>
        </is>
      </c>
      <c r="F691" s="2">
        <f>IFERROR(VLOOKUP(E691,Courses!$A:$C,2,FALSE),"")</f>
        <v/>
      </c>
      <c r="G691" s="2">
        <f>IFERROR(VLOOKUP(E691,Courses!$A:$C,3,FALSE),0)</f>
        <v/>
      </c>
      <c r="H691" s="2" t="inlineStr">
        <is>
          <t>D+</t>
        </is>
      </c>
      <c r="I691" s="2" t="n">
        <v>69</v>
      </c>
      <c r="J691" s="2">
        <f>IFERROR(VLOOKUP(H691,'Grade Scale'!$A:$B,2,FALSE),0)</f>
        <v/>
      </c>
      <c r="K691" s="2">
        <f>J691*G691</f>
        <v/>
      </c>
      <c r="L691" s="2">
        <f>IF(H691="F",0,G691)</f>
        <v/>
      </c>
    </row>
    <row r="692">
      <c r="A692" s="2" t="inlineStr">
        <is>
          <t>m250218</t>
        </is>
      </c>
      <c r="B692" s="2">
        <f>IFERROR(VLOOKUP(A692,Students!$A:$B,2,FALSE),"")</f>
        <v/>
      </c>
      <c r="C692" s="2" t="inlineStr">
        <is>
          <t>Fall 2025</t>
        </is>
      </c>
      <c r="D692" s="2" t="inlineStr">
        <is>
          <t>Semester 2</t>
        </is>
      </c>
      <c r="E692" s="2" t="inlineStr">
        <is>
          <t>CIV 150</t>
        </is>
      </c>
      <c r="F692" s="2">
        <f>IFERROR(VLOOKUP(E692,Courses!$A:$C,2,FALSE),"")</f>
        <v/>
      </c>
      <c r="G692" s="2">
        <f>IFERROR(VLOOKUP(E692,Courses!$A:$C,3,FALSE),0)</f>
        <v/>
      </c>
      <c r="H692" s="2" t="inlineStr">
        <is>
          <t>C-</t>
        </is>
      </c>
      <c r="I692" s="2" t="n">
        <v>71</v>
      </c>
      <c r="J692" s="2">
        <f>IFERROR(VLOOKUP(H692,'Grade Scale'!$A:$B,2,FALSE),0)</f>
        <v/>
      </c>
      <c r="K692" s="2">
        <f>J692*G692</f>
        <v/>
      </c>
      <c r="L692" s="2">
        <f>IF(H692="F",0,G692)</f>
        <v/>
      </c>
    </row>
    <row r="693">
      <c r="A693" s="2" t="inlineStr">
        <is>
          <t>m250218</t>
        </is>
      </c>
      <c r="B693" s="2">
        <f>IFERROR(VLOOKUP(A693,Students!$A:$B,2,FALSE),"")</f>
        <v/>
      </c>
      <c r="C693" s="2" t="inlineStr">
        <is>
          <t>Fall 2025</t>
        </is>
      </c>
      <c r="D693" s="2" t="inlineStr">
        <is>
          <t>Semester 2</t>
        </is>
      </c>
      <c r="E693" s="2" t="inlineStr">
        <is>
          <t>MTH 140</t>
        </is>
      </c>
      <c r="F693" s="2">
        <f>IFERROR(VLOOKUP(E693,Courses!$A:$C,2,FALSE),"")</f>
        <v/>
      </c>
      <c r="G693" s="2">
        <f>IFERROR(VLOOKUP(E693,Courses!$A:$C,3,FALSE),0)</f>
        <v/>
      </c>
      <c r="H693" s="2" t="inlineStr">
        <is>
          <t>C+</t>
        </is>
      </c>
      <c r="I693" s="2" t="n">
        <v>77</v>
      </c>
      <c r="J693" s="2">
        <f>IFERROR(VLOOKUP(H693,'Grade Scale'!$A:$B,2,FALSE),0)</f>
        <v/>
      </c>
      <c r="K693" s="2">
        <f>J693*G693</f>
        <v/>
      </c>
      <c r="L693" s="2">
        <f>IF(H693="F",0,G693)</f>
        <v/>
      </c>
    </row>
    <row r="694">
      <c r="A694" s="2" t="inlineStr">
        <is>
          <t>m250218</t>
        </is>
      </c>
      <c r="B694" s="2">
        <f>IFERROR(VLOOKUP(A694,Students!$A:$B,2,FALSE),"")</f>
        <v/>
      </c>
      <c r="C694" s="2" t="inlineStr">
        <is>
          <t>Fall 2025</t>
        </is>
      </c>
      <c r="D694" s="2" t="inlineStr">
        <is>
          <t>Semester 2</t>
        </is>
      </c>
      <c r="E694" s="2" t="inlineStr">
        <is>
          <t>PHY 102</t>
        </is>
      </c>
      <c r="F694" s="2">
        <f>IFERROR(VLOOKUP(E694,Courses!$A:$C,2,FALSE),"")</f>
        <v/>
      </c>
      <c r="G694" s="2">
        <f>IFERROR(VLOOKUP(E694,Courses!$A:$C,3,FALSE),0)</f>
        <v/>
      </c>
      <c r="H694" s="2" t="inlineStr">
        <is>
          <t>C-</t>
        </is>
      </c>
      <c r="I694" s="2" t="n">
        <v>70</v>
      </c>
      <c r="J694" s="2">
        <f>IFERROR(VLOOKUP(H694,'Grade Scale'!$A:$B,2,FALSE),0)</f>
        <v/>
      </c>
      <c r="K694" s="2">
        <f>J694*G694</f>
        <v/>
      </c>
      <c r="L694" s="2">
        <f>IF(H694="F",0,G694)</f>
        <v/>
      </c>
    </row>
    <row r="695">
      <c r="A695" s="2" t="inlineStr">
        <is>
          <t>m250218</t>
        </is>
      </c>
      <c r="B695" s="2">
        <f>IFERROR(VLOOKUP(A695,Students!$A:$B,2,FALSE),"")</f>
        <v/>
      </c>
      <c r="C695" s="2" t="inlineStr">
        <is>
          <t>Fall 2025</t>
        </is>
      </c>
      <c r="D695" s="2" t="inlineStr">
        <is>
          <t>Semester 2</t>
        </is>
      </c>
      <c r="E695" s="2" t="inlineStr">
        <is>
          <t>ENG 102</t>
        </is>
      </c>
      <c r="F695" s="2">
        <f>IFERROR(VLOOKUP(E695,Courses!$A:$C,2,FALSE),"")</f>
        <v/>
      </c>
      <c r="G695" s="2">
        <f>IFERROR(VLOOKUP(E695,Courses!$A:$C,3,FALSE),0)</f>
        <v/>
      </c>
      <c r="H695" s="2" t="inlineStr">
        <is>
          <t>D+</t>
        </is>
      </c>
      <c r="I695" s="2" t="n">
        <v>67</v>
      </c>
      <c r="J695" s="2">
        <f>IFERROR(VLOOKUP(H695,'Grade Scale'!$A:$B,2,FALSE),0)</f>
        <v/>
      </c>
      <c r="K695" s="2">
        <f>J695*G695</f>
        <v/>
      </c>
      <c r="L695" s="2">
        <f>IF(H695="F",0,G695)</f>
        <v/>
      </c>
    </row>
    <row r="696">
      <c r="A696" s="2" t="inlineStr">
        <is>
          <t>m250218</t>
        </is>
      </c>
      <c r="B696" s="2">
        <f>IFERROR(VLOOKUP(A696,Students!$A:$B,2,FALSE),"")</f>
        <v/>
      </c>
      <c r="C696" s="2" t="inlineStr">
        <is>
          <t>Fall 2025</t>
        </is>
      </c>
      <c r="D696" s="2" t="inlineStr">
        <is>
          <t>Semester 2</t>
        </is>
      </c>
      <c r="E696" s="2" t="inlineStr">
        <is>
          <t>CIV 160</t>
        </is>
      </c>
      <c r="F696" s="2">
        <f>IFERROR(VLOOKUP(E696,Courses!$A:$C,2,FALSE),"")</f>
        <v/>
      </c>
      <c r="G696" s="2">
        <f>IFERROR(VLOOKUP(E696,Courses!$A:$C,3,FALSE),0)</f>
        <v/>
      </c>
      <c r="H696" s="2" t="inlineStr">
        <is>
          <t>D+</t>
        </is>
      </c>
      <c r="I696" s="2" t="n">
        <v>67</v>
      </c>
      <c r="J696" s="2">
        <f>IFERROR(VLOOKUP(H696,'Grade Scale'!$A:$B,2,FALSE),0)</f>
        <v/>
      </c>
      <c r="K696" s="2">
        <f>J696*G696</f>
        <v/>
      </c>
      <c r="L696" s="2">
        <f>IF(H696="F",0,G696)</f>
        <v/>
      </c>
    </row>
    <row r="697">
      <c r="A697" s="2" t="inlineStr">
        <is>
          <t>m250218</t>
        </is>
      </c>
      <c r="B697" s="2">
        <f>IFERROR(VLOOKUP(A697,Students!$A:$B,2,FALSE),"")</f>
        <v/>
      </c>
      <c r="C697" s="2" t="inlineStr">
        <is>
          <t>Spring 2026</t>
        </is>
      </c>
      <c r="D697" s="2" t="inlineStr">
        <is>
          <t>Semester 3</t>
        </is>
      </c>
      <c r="E697" s="2" t="inlineStr">
        <is>
          <t>CIV 210</t>
        </is>
      </c>
      <c r="F697" s="2">
        <f>IFERROR(VLOOKUP(E697,Courses!$A:$C,2,FALSE),"")</f>
        <v/>
      </c>
      <c r="G697" s="2">
        <f>IFERROR(VLOOKUP(E697,Courses!$A:$C,3,FALSE),0)</f>
        <v/>
      </c>
      <c r="H697" s="2" t="inlineStr">
        <is>
          <t>B-</t>
        </is>
      </c>
      <c r="I697" s="2" t="n">
        <v>82</v>
      </c>
      <c r="J697" s="2">
        <f>IFERROR(VLOOKUP(H697,'Grade Scale'!$A:$B,2,FALSE),0)</f>
        <v/>
      </c>
      <c r="K697" s="2">
        <f>J697*G697</f>
        <v/>
      </c>
      <c r="L697" s="2">
        <f>IF(H697="F",0,G697)</f>
        <v/>
      </c>
    </row>
    <row r="698">
      <c r="A698" s="2" t="inlineStr">
        <is>
          <t>m250218</t>
        </is>
      </c>
      <c r="B698" s="2">
        <f>IFERROR(VLOOKUP(A698,Students!$A:$B,2,FALSE),"")</f>
        <v/>
      </c>
      <c r="C698" s="2" t="inlineStr">
        <is>
          <t>Spring 2026</t>
        </is>
      </c>
      <c r="D698" s="2" t="inlineStr">
        <is>
          <t>Semester 3</t>
        </is>
      </c>
      <c r="E698" s="2" t="inlineStr">
        <is>
          <t>CIV 220</t>
        </is>
      </c>
      <c r="F698" s="2">
        <f>IFERROR(VLOOKUP(E698,Courses!$A:$C,2,FALSE),"")</f>
        <v/>
      </c>
      <c r="G698" s="2">
        <f>IFERROR(VLOOKUP(E698,Courses!$A:$C,3,FALSE),0)</f>
        <v/>
      </c>
      <c r="H698" s="2" t="inlineStr">
        <is>
          <t>D</t>
        </is>
      </c>
      <c r="I698" s="2" t="n">
        <v>66</v>
      </c>
      <c r="J698" s="2">
        <f>IFERROR(VLOOKUP(H698,'Grade Scale'!$A:$B,2,FALSE),0)</f>
        <v/>
      </c>
      <c r="K698" s="2">
        <f>J698*G698</f>
        <v/>
      </c>
      <c r="L698" s="2">
        <f>IF(H698="F",0,G698)</f>
        <v/>
      </c>
    </row>
    <row r="699">
      <c r="A699" s="2" t="inlineStr">
        <is>
          <t>m250218</t>
        </is>
      </c>
      <c r="B699" s="2">
        <f>IFERROR(VLOOKUP(A699,Students!$A:$B,2,FALSE),"")</f>
        <v/>
      </c>
      <c r="C699" s="2" t="inlineStr">
        <is>
          <t>Spring 2026</t>
        </is>
      </c>
      <c r="D699" s="2" t="inlineStr">
        <is>
          <t>Semester 3</t>
        </is>
      </c>
      <c r="E699" s="2" t="inlineStr">
        <is>
          <t>CIV 230</t>
        </is>
      </c>
      <c r="F699" s="2">
        <f>IFERROR(VLOOKUP(E699,Courses!$A:$C,2,FALSE),"")</f>
        <v/>
      </c>
      <c r="G699" s="2">
        <f>IFERROR(VLOOKUP(E699,Courses!$A:$C,3,FALSE),0)</f>
        <v/>
      </c>
      <c r="H699" s="2" t="inlineStr">
        <is>
          <t>C-</t>
        </is>
      </c>
      <c r="I699" s="2" t="n">
        <v>72</v>
      </c>
      <c r="J699" s="2">
        <f>IFERROR(VLOOKUP(H699,'Grade Scale'!$A:$B,2,FALSE),0)</f>
        <v/>
      </c>
      <c r="K699" s="2">
        <f>J699*G699</f>
        <v/>
      </c>
      <c r="L699" s="2">
        <f>IF(H699="F",0,G699)</f>
        <v/>
      </c>
    </row>
    <row r="700">
      <c r="A700" s="2" t="inlineStr">
        <is>
          <t>m250218</t>
        </is>
      </c>
      <c r="B700" s="2">
        <f>IFERROR(VLOOKUP(A700,Students!$A:$B,2,FALSE),"")</f>
        <v/>
      </c>
      <c r="C700" s="2" t="inlineStr">
        <is>
          <t>Spring 2026</t>
        </is>
      </c>
      <c r="D700" s="2" t="inlineStr">
        <is>
          <t>Semester 3</t>
        </is>
      </c>
      <c r="E700" s="2" t="inlineStr">
        <is>
          <t>MTH 210</t>
        </is>
      </c>
      <c r="F700" s="2">
        <f>IFERROR(VLOOKUP(E700,Courses!$A:$C,2,FALSE),"")</f>
        <v/>
      </c>
      <c r="G700" s="2">
        <f>IFERROR(VLOOKUP(E700,Courses!$A:$C,3,FALSE),0)</f>
        <v/>
      </c>
      <c r="H700" s="2" t="inlineStr">
        <is>
          <t>C+</t>
        </is>
      </c>
      <c r="I700" s="2" t="n">
        <v>77</v>
      </c>
      <c r="J700" s="2">
        <f>IFERROR(VLOOKUP(H700,'Grade Scale'!$A:$B,2,FALSE),0)</f>
        <v/>
      </c>
      <c r="K700" s="2">
        <f>J700*G700</f>
        <v/>
      </c>
      <c r="L700" s="2">
        <f>IF(H700="F",0,G700)</f>
        <v/>
      </c>
    </row>
    <row r="701">
      <c r="A701" s="2" t="inlineStr">
        <is>
          <t>m250218</t>
        </is>
      </c>
      <c r="B701" s="2">
        <f>IFERROR(VLOOKUP(A701,Students!$A:$B,2,FALSE),"")</f>
        <v/>
      </c>
      <c r="C701" s="2" t="inlineStr">
        <is>
          <t>Spring 2026</t>
        </is>
      </c>
      <c r="D701" s="2" t="inlineStr">
        <is>
          <t>Semester 3</t>
        </is>
      </c>
      <c r="E701" s="2" t="inlineStr">
        <is>
          <t>CIV 240</t>
        </is>
      </c>
      <c r="F701" s="2">
        <f>IFERROR(VLOOKUP(E701,Courses!$A:$C,2,FALSE),"")</f>
        <v/>
      </c>
      <c r="G701" s="2">
        <f>IFERROR(VLOOKUP(E701,Courses!$A:$C,3,FALSE),0)</f>
        <v/>
      </c>
      <c r="H701" s="2" t="inlineStr">
        <is>
          <t>C</t>
        </is>
      </c>
      <c r="I701" s="2" t="n">
        <v>76</v>
      </c>
      <c r="J701" s="2">
        <f>IFERROR(VLOOKUP(H701,'Grade Scale'!$A:$B,2,FALSE),0)</f>
        <v/>
      </c>
      <c r="K701" s="2">
        <f>J701*G701</f>
        <v/>
      </c>
      <c r="L701" s="2">
        <f>IF(H701="F",0,G701)</f>
        <v/>
      </c>
    </row>
    <row r="702">
      <c r="A702" s="2" t="inlineStr">
        <is>
          <t>m250314</t>
        </is>
      </c>
      <c r="B702" s="2">
        <f>IFERROR(VLOOKUP(A702,Students!$A:$B,2,FALSE),"")</f>
        <v/>
      </c>
      <c r="C702" s="2" t="inlineStr">
        <is>
          <t>Fall 2025</t>
        </is>
      </c>
      <c r="D702" s="2" t="inlineStr">
        <is>
          <t>Semester 1</t>
        </is>
      </c>
      <c r="E702" s="2" t="inlineStr">
        <is>
          <t>ART 101</t>
        </is>
      </c>
      <c r="F702" s="2">
        <f>IFERROR(VLOOKUP(E702,Courses!$A:$C,2,FALSE),"")</f>
        <v/>
      </c>
      <c r="G702" s="2">
        <f>IFERROR(VLOOKUP(E702,Courses!$A:$C,3,FALSE),0)</f>
        <v/>
      </c>
      <c r="H702" s="2" t="inlineStr">
        <is>
          <t>A</t>
        </is>
      </c>
      <c r="I702" s="2" t="n">
        <v>98</v>
      </c>
      <c r="J702" s="2">
        <f>IFERROR(VLOOKUP(H702,'Grade Scale'!$A:$B,2,FALSE),0)</f>
        <v/>
      </c>
      <c r="K702" s="2">
        <f>J702*G702</f>
        <v/>
      </c>
      <c r="L702" s="2">
        <f>IF(H702="F",0,G702)</f>
        <v/>
      </c>
    </row>
    <row r="703">
      <c r="A703" s="2" t="inlineStr">
        <is>
          <t>m250314</t>
        </is>
      </c>
      <c r="B703" s="2">
        <f>IFERROR(VLOOKUP(A703,Students!$A:$B,2,FALSE),"")</f>
        <v/>
      </c>
      <c r="C703" s="2" t="inlineStr">
        <is>
          <t>Fall 2025</t>
        </is>
      </c>
      <c r="D703" s="2" t="inlineStr">
        <is>
          <t>Semester 1</t>
        </is>
      </c>
      <c r="E703" s="2" t="inlineStr">
        <is>
          <t>DES 101</t>
        </is>
      </c>
      <c r="F703" s="2">
        <f>IFERROR(VLOOKUP(E703,Courses!$A:$C,2,FALSE),"")</f>
        <v/>
      </c>
      <c r="G703" s="2">
        <f>IFERROR(VLOOKUP(E703,Courses!$A:$C,3,FALSE),0)</f>
        <v/>
      </c>
      <c r="H703" s="2" t="inlineStr">
        <is>
          <t>A-</t>
        </is>
      </c>
      <c r="I703" s="2" t="n">
        <v>92</v>
      </c>
      <c r="J703" s="2">
        <f>IFERROR(VLOOKUP(H703,'Grade Scale'!$A:$B,2,FALSE),0)</f>
        <v/>
      </c>
      <c r="K703" s="2">
        <f>J703*G703</f>
        <v/>
      </c>
      <c r="L703" s="2">
        <f>IF(H703="F",0,G703)</f>
        <v/>
      </c>
    </row>
    <row r="704">
      <c r="A704" s="2" t="inlineStr">
        <is>
          <t>m250314</t>
        </is>
      </c>
      <c r="B704" s="2">
        <f>IFERROR(VLOOKUP(A704,Students!$A:$B,2,FALSE),"")</f>
        <v/>
      </c>
      <c r="C704" s="2" t="inlineStr">
        <is>
          <t>Fall 2025</t>
        </is>
      </c>
      <c r="D704" s="2" t="inlineStr">
        <is>
          <t>Semester 1</t>
        </is>
      </c>
      <c r="E704" s="2" t="inlineStr">
        <is>
          <t>ART 110</t>
        </is>
      </c>
      <c r="F704" s="2">
        <f>IFERROR(VLOOKUP(E704,Courses!$A:$C,2,FALSE),"")</f>
        <v/>
      </c>
      <c r="G704" s="2">
        <f>IFERROR(VLOOKUP(E704,Courses!$A:$C,3,FALSE),0)</f>
        <v/>
      </c>
      <c r="H704" s="2" t="inlineStr">
        <is>
          <t>A</t>
        </is>
      </c>
      <c r="I704" s="2" t="n">
        <v>100</v>
      </c>
      <c r="J704" s="2">
        <f>IFERROR(VLOOKUP(H704,'Grade Scale'!$A:$B,2,FALSE),0)</f>
        <v/>
      </c>
      <c r="K704" s="2">
        <f>J704*G704</f>
        <v/>
      </c>
      <c r="L704" s="2">
        <f>IF(H704="F",0,G704)</f>
        <v/>
      </c>
    </row>
    <row r="705">
      <c r="A705" s="2" t="inlineStr">
        <is>
          <t>m250314</t>
        </is>
      </c>
      <c r="B705" s="2">
        <f>IFERROR(VLOOKUP(A705,Students!$A:$B,2,FALSE),"")</f>
        <v/>
      </c>
      <c r="C705" s="2" t="inlineStr">
        <is>
          <t>Fall 2025</t>
        </is>
      </c>
      <c r="D705" s="2" t="inlineStr">
        <is>
          <t>Semester 1</t>
        </is>
      </c>
      <c r="E705" s="2" t="inlineStr">
        <is>
          <t>ENG 101</t>
        </is>
      </c>
      <c r="F705" s="2">
        <f>IFERROR(VLOOKUP(E705,Courses!$A:$C,2,FALSE),"")</f>
        <v/>
      </c>
      <c r="G705" s="2">
        <f>IFERROR(VLOOKUP(E705,Courses!$A:$C,3,FALSE),0)</f>
        <v/>
      </c>
      <c r="H705" s="2" t="inlineStr">
        <is>
          <t>A</t>
        </is>
      </c>
      <c r="I705" s="2" t="n">
        <v>96</v>
      </c>
      <c r="J705" s="2">
        <f>IFERROR(VLOOKUP(H705,'Grade Scale'!$A:$B,2,FALSE),0)</f>
        <v/>
      </c>
      <c r="K705" s="2">
        <f>J705*G705</f>
        <v/>
      </c>
      <c r="L705" s="2">
        <f>IF(H705="F",0,G705)</f>
        <v/>
      </c>
    </row>
    <row r="706">
      <c r="A706" s="2" t="inlineStr">
        <is>
          <t>m250314</t>
        </is>
      </c>
      <c r="B706" s="2">
        <f>IFERROR(VLOOKUP(A706,Students!$A:$B,2,FALSE),"")</f>
        <v/>
      </c>
      <c r="C706" s="2" t="inlineStr">
        <is>
          <t>Fall 2025</t>
        </is>
      </c>
      <c r="D706" s="2" t="inlineStr">
        <is>
          <t>Semester 1</t>
        </is>
      </c>
      <c r="E706" s="2" t="inlineStr">
        <is>
          <t>HIS 101</t>
        </is>
      </c>
      <c r="F706" s="2">
        <f>IFERROR(VLOOKUP(E706,Courses!$A:$C,2,FALSE),"")</f>
        <v/>
      </c>
      <c r="G706" s="2">
        <f>IFERROR(VLOOKUP(E706,Courses!$A:$C,3,FALSE),0)</f>
        <v/>
      </c>
      <c r="H706" s="2" t="inlineStr">
        <is>
          <t>B</t>
        </is>
      </c>
      <c r="I706" s="2" t="n">
        <v>85</v>
      </c>
      <c r="J706" s="2">
        <f>IFERROR(VLOOKUP(H706,'Grade Scale'!$A:$B,2,FALSE),0)</f>
        <v/>
      </c>
      <c r="K706" s="2">
        <f>J706*G706</f>
        <v/>
      </c>
      <c r="L706" s="2">
        <f>IF(H706="F",0,G706)</f>
        <v/>
      </c>
    </row>
    <row r="707">
      <c r="A707" s="2" t="inlineStr">
        <is>
          <t>m250314</t>
        </is>
      </c>
      <c r="B707" s="2">
        <f>IFERROR(VLOOKUP(A707,Students!$A:$B,2,FALSE),"")</f>
        <v/>
      </c>
      <c r="C707" s="2" t="inlineStr">
        <is>
          <t>Spring 2026</t>
        </is>
      </c>
      <c r="D707" s="2" t="inlineStr">
        <is>
          <t>Semester 2</t>
        </is>
      </c>
      <c r="E707" s="2" t="inlineStr">
        <is>
          <t>DES 150</t>
        </is>
      </c>
      <c r="F707" s="2">
        <f>IFERROR(VLOOKUP(E707,Courses!$A:$C,2,FALSE),"")</f>
        <v/>
      </c>
      <c r="G707" s="2">
        <f>IFERROR(VLOOKUP(E707,Courses!$A:$C,3,FALSE),0)</f>
        <v/>
      </c>
      <c r="H707" s="2" t="inlineStr">
        <is>
          <t>B+</t>
        </is>
      </c>
      <c r="I707" s="2" t="n">
        <v>88</v>
      </c>
      <c r="J707" s="2">
        <f>IFERROR(VLOOKUP(H707,'Grade Scale'!$A:$B,2,FALSE),0)</f>
        <v/>
      </c>
      <c r="K707" s="2">
        <f>J707*G707</f>
        <v/>
      </c>
      <c r="L707" s="2">
        <f>IF(H707="F",0,G707)</f>
        <v/>
      </c>
    </row>
    <row r="708">
      <c r="A708" s="2" t="inlineStr">
        <is>
          <t>m250314</t>
        </is>
      </c>
      <c r="B708" s="2">
        <f>IFERROR(VLOOKUP(A708,Students!$A:$B,2,FALSE),"")</f>
        <v/>
      </c>
      <c r="C708" s="2" t="inlineStr">
        <is>
          <t>Spring 2026</t>
        </is>
      </c>
      <c r="D708" s="2" t="inlineStr">
        <is>
          <t>Semester 2</t>
        </is>
      </c>
      <c r="E708" s="2" t="inlineStr">
        <is>
          <t>DES 160</t>
        </is>
      </c>
      <c r="F708" s="2">
        <f>IFERROR(VLOOKUP(E708,Courses!$A:$C,2,FALSE),"")</f>
        <v/>
      </c>
      <c r="G708" s="2">
        <f>IFERROR(VLOOKUP(E708,Courses!$A:$C,3,FALSE),0)</f>
        <v/>
      </c>
      <c r="H708" s="2" t="inlineStr">
        <is>
          <t>B</t>
        </is>
      </c>
      <c r="I708" s="2" t="n">
        <v>85</v>
      </c>
      <c r="J708" s="2">
        <f>IFERROR(VLOOKUP(H708,'Grade Scale'!$A:$B,2,FALSE),0)</f>
        <v/>
      </c>
      <c r="K708" s="2">
        <f>J708*G708</f>
        <v/>
      </c>
      <c r="L708" s="2">
        <f>IF(H708="F",0,G708)</f>
        <v/>
      </c>
    </row>
    <row r="709">
      <c r="A709" s="2" t="inlineStr">
        <is>
          <t>m250314</t>
        </is>
      </c>
      <c r="B709" s="2">
        <f>IFERROR(VLOOKUP(A709,Students!$A:$B,2,FALSE),"")</f>
        <v/>
      </c>
      <c r="C709" s="2" t="inlineStr">
        <is>
          <t>Spring 2026</t>
        </is>
      </c>
      <c r="D709" s="2" t="inlineStr">
        <is>
          <t>Semester 2</t>
        </is>
      </c>
      <c r="E709" s="2" t="inlineStr">
        <is>
          <t>DES 170</t>
        </is>
      </c>
      <c r="F709" s="2">
        <f>IFERROR(VLOOKUP(E709,Courses!$A:$C,2,FALSE),"")</f>
        <v/>
      </c>
      <c r="G709" s="2">
        <f>IFERROR(VLOOKUP(E709,Courses!$A:$C,3,FALSE),0)</f>
        <v/>
      </c>
      <c r="H709" s="2" t="inlineStr">
        <is>
          <t>B</t>
        </is>
      </c>
      <c r="I709" s="2" t="n">
        <v>84</v>
      </c>
      <c r="J709" s="2">
        <f>IFERROR(VLOOKUP(H709,'Grade Scale'!$A:$B,2,FALSE),0)</f>
        <v/>
      </c>
      <c r="K709" s="2">
        <f>J709*G709</f>
        <v/>
      </c>
      <c r="L709" s="2">
        <f>IF(H709="F",0,G709)</f>
        <v/>
      </c>
    </row>
    <row r="710">
      <c r="A710" s="2" t="inlineStr">
        <is>
          <t>m250314</t>
        </is>
      </c>
      <c r="B710" s="2">
        <f>IFERROR(VLOOKUP(A710,Students!$A:$B,2,FALSE),"")</f>
        <v/>
      </c>
      <c r="C710" s="2" t="inlineStr">
        <is>
          <t>Spring 2026</t>
        </is>
      </c>
      <c r="D710" s="2" t="inlineStr">
        <is>
          <t>Semester 2</t>
        </is>
      </c>
      <c r="E710" s="2" t="inlineStr">
        <is>
          <t>ENG 102</t>
        </is>
      </c>
      <c r="F710" s="2">
        <f>IFERROR(VLOOKUP(E710,Courses!$A:$C,2,FALSE),"")</f>
        <v/>
      </c>
      <c r="G710" s="2">
        <f>IFERROR(VLOOKUP(E710,Courses!$A:$C,3,FALSE),0)</f>
        <v/>
      </c>
      <c r="H710" s="2" t="inlineStr">
        <is>
          <t>B</t>
        </is>
      </c>
      <c r="I710" s="2" t="n">
        <v>83</v>
      </c>
      <c r="J710" s="2">
        <f>IFERROR(VLOOKUP(H710,'Grade Scale'!$A:$B,2,FALSE),0)</f>
        <v/>
      </c>
      <c r="K710" s="2">
        <f>J710*G710</f>
        <v/>
      </c>
      <c r="L710" s="2">
        <f>IF(H710="F",0,G710)</f>
        <v/>
      </c>
    </row>
    <row r="711">
      <c r="A711" s="2" t="inlineStr">
        <is>
          <t>m250314</t>
        </is>
      </c>
      <c r="B711" s="2">
        <f>IFERROR(VLOOKUP(A711,Students!$A:$B,2,FALSE),"")</f>
        <v/>
      </c>
      <c r="C711" s="2" t="inlineStr">
        <is>
          <t>Spring 2026</t>
        </is>
      </c>
      <c r="D711" s="2" t="inlineStr">
        <is>
          <t>Semester 2</t>
        </is>
      </c>
      <c r="E711" s="2" t="inlineStr">
        <is>
          <t>ART 150</t>
        </is>
      </c>
      <c r="F711" s="2">
        <f>IFERROR(VLOOKUP(E711,Courses!$A:$C,2,FALSE),"")</f>
        <v/>
      </c>
      <c r="G711" s="2">
        <f>IFERROR(VLOOKUP(E711,Courses!$A:$C,3,FALSE),0)</f>
        <v/>
      </c>
      <c r="H711" s="2" t="inlineStr">
        <is>
          <t>A-</t>
        </is>
      </c>
      <c r="I711" s="2" t="n">
        <v>92</v>
      </c>
      <c r="J711" s="2">
        <f>IFERROR(VLOOKUP(H711,'Grade Scale'!$A:$B,2,FALSE),0)</f>
        <v/>
      </c>
      <c r="K711" s="2">
        <f>J711*G711</f>
        <v/>
      </c>
      <c r="L711" s="2">
        <f>IF(H711="F",0,G711)</f>
        <v/>
      </c>
    </row>
    <row r="712">
      <c r="A712" s="2" t="inlineStr">
        <is>
          <t>m240117</t>
        </is>
      </c>
      <c r="B712" s="2">
        <f>IFERROR(VLOOKUP(A712,Students!$A:$B,2,FALSE),"")</f>
        <v/>
      </c>
      <c r="C712" s="2" t="inlineStr">
        <is>
          <t>Fall 2024</t>
        </is>
      </c>
      <c r="D712" s="2" t="inlineStr">
        <is>
          <t>Semester 1</t>
        </is>
      </c>
      <c r="E712" s="2" t="inlineStr">
        <is>
          <t>TAM 530</t>
        </is>
      </c>
      <c r="F712" s="2">
        <f>IFERROR(VLOOKUP(E712,Courses!$A:$C,2,FALSE),"")</f>
        <v/>
      </c>
      <c r="G712" s="2">
        <f>IFERROR(VLOOKUP(E712,Courses!$A:$C,3,FALSE),0)</f>
        <v/>
      </c>
      <c r="H712" s="2" t="inlineStr">
        <is>
          <t>B+</t>
        </is>
      </c>
      <c r="I712" s="2" t="n">
        <v>88</v>
      </c>
      <c r="J712" s="2">
        <f>IFERROR(VLOOKUP(H712,'Grade Scale'!$A:$B,2,FALSE),0)</f>
        <v/>
      </c>
      <c r="K712" s="2">
        <f>J712*G712</f>
        <v/>
      </c>
      <c r="L712" s="2">
        <f>IF(H712="F",0,G712)</f>
        <v/>
      </c>
    </row>
    <row r="713">
      <c r="A713" s="2" t="inlineStr">
        <is>
          <t>m240117</t>
        </is>
      </c>
      <c r="B713" s="2">
        <f>IFERROR(VLOOKUP(A713,Students!$A:$B,2,FALSE),"")</f>
        <v/>
      </c>
      <c r="C713" s="2" t="inlineStr">
        <is>
          <t>Fall 2024</t>
        </is>
      </c>
      <c r="D713" s="2" t="inlineStr">
        <is>
          <t>Semester 1</t>
        </is>
      </c>
      <c r="E713" s="2" t="inlineStr">
        <is>
          <t>TGM 586</t>
        </is>
      </c>
      <c r="F713" s="2">
        <f>IFERROR(VLOOKUP(E713,Courses!$A:$C,2,FALSE),"")</f>
        <v/>
      </c>
      <c r="G713" s="2">
        <f>IFERROR(VLOOKUP(E713,Courses!$A:$C,3,FALSE),0)</f>
        <v/>
      </c>
      <c r="H713" s="2" t="inlineStr">
        <is>
          <t>C+</t>
        </is>
      </c>
      <c r="I713" s="2" t="n">
        <v>77</v>
      </c>
      <c r="J713" s="2">
        <f>IFERROR(VLOOKUP(H713,'Grade Scale'!$A:$B,2,FALSE),0)</f>
        <v/>
      </c>
      <c r="K713" s="2">
        <f>J713*G713</f>
        <v/>
      </c>
      <c r="L713" s="2">
        <f>IF(H713="F",0,G713)</f>
        <v/>
      </c>
    </row>
    <row r="714">
      <c r="A714" s="2" t="inlineStr">
        <is>
          <t>m240117</t>
        </is>
      </c>
      <c r="B714" s="2">
        <f>IFERROR(VLOOKUP(A714,Students!$A:$B,2,FALSE),"")</f>
        <v/>
      </c>
      <c r="C714" s="2" t="inlineStr">
        <is>
          <t>Fall 2024</t>
        </is>
      </c>
      <c r="D714" s="2" t="inlineStr">
        <is>
          <t>Semester 1</t>
        </is>
      </c>
      <c r="E714" s="2" t="inlineStr">
        <is>
          <t>TAM 557</t>
        </is>
      </c>
      <c r="F714" s="2">
        <f>IFERROR(VLOOKUP(E714,Courses!$A:$C,2,FALSE),"")</f>
        <v/>
      </c>
      <c r="G714" s="2">
        <f>IFERROR(VLOOKUP(E714,Courses!$A:$C,3,FALSE),0)</f>
        <v/>
      </c>
      <c r="H714" s="2" t="inlineStr">
        <is>
          <t>C+</t>
        </is>
      </c>
      <c r="I714" s="2" t="n">
        <v>77</v>
      </c>
      <c r="J714" s="2">
        <f>IFERROR(VLOOKUP(H714,'Grade Scale'!$A:$B,2,FALSE),0)</f>
        <v/>
      </c>
      <c r="K714" s="2">
        <f>J714*G714</f>
        <v/>
      </c>
      <c r="L714" s="2">
        <f>IF(H714="F",0,G714)</f>
        <v/>
      </c>
    </row>
    <row r="715">
      <c r="A715" s="2" t="inlineStr">
        <is>
          <t>m240117</t>
        </is>
      </c>
      <c r="B715" s="2">
        <f>IFERROR(VLOOKUP(A715,Students!$A:$B,2,FALSE),"")</f>
        <v/>
      </c>
      <c r="C715" s="2" t="inlineStr">
        <is>
          <t>Fall 2024</t>
        </is>
      </c>
      <c r="D715" s="2" t="inlineStr">
        <is>
          <t>Semester 1</t>
        </is>
      </c>
      <c r="E715" s="2" t="inlineStr">
        <is>
          <t>TAM 542</t>
        </is>
      </c>
      <c r="F715" s="2">
        <f>IFERROR(VLOOKUP(E715,Courses!$A:$C,2,FALSE),"")</f>
        <v/>
      </c>
      <c r="G715" s="2">
        <f>IFERROR(VLOOKUP(E715,Courses!$A:$C,3,FALSE),0)</f>
        <v/>
      </c>
      <c r="H715" s="2" t="inlineStr">
        <is>
          <t>C+</t>
        </is>
      </c>
      <c r="I715" s="2" t="n">
        <v>77</v>
      </c>
      <c r="J715" s="2">
        <f>IFERROR(VLOOKUP(H715,'Grade Scale'!$A:$B,2,FALSE),0)</f>
        <v/>
      </c>
      <c r="K715" s="2">
        <f>J715*G715</f>
        <v/>
      </c>
      <c r="L715" s="2">
        <f>IF(H715="F",0,G715)</f>
        <v/>
      </c>
    </row>
    <row r="716">
      <c r="A716" s="2" t="inlineStr">
        <is>
          <t>m240117</t>
        </is>
      </c>
      <c r="B716" s="2">
        <f>IFERROR(VLOOKUP(A716,Students!$A:$B,2,FALSE),"")</f>
        <v/>
      </c>
      <c r="C716" s="2" t="inlineStr">
        <is>
          <t>Fall 2024</t>
        </is>
      </c>
      <c r="D716" s="2" t="inlineStr">
        <is>
          <t>Semester 1</t>
        </is>
      </c>
      <c r="E716" s="2" t="inlineStr">
        <is>
          <t>TAM 511</t>
        </is>
      </c>
      <c r="F716" s="2">
        <f>IFERROR(VLOOKUP(E716,Courses!$A:$C,2,FALSE),"")</f>
        <v/>
      </c>
      <c r="G716" s="2">
        <f>IFERROR(VLOOKUP(E716,Courses!$A:$C,3,FALSE),0)</f>
        <v/>
      </c>
      <c r="H716" s="2" t="inlineStr">
        <is>
          <t>B-</t>
        </is>
      </c>
      <c r="I716" s="2" t="n">
        <v>81</v>
      </c>
      <c r="J716" s="2">
        <f>IFERROR(VLOOKUP(H716,'Grade Scale'!$A:$B,2,FALSE),0)</f>
        <v/>
      </c>
      <c r="K716" s="2">
        <f>J716*G716</f>
        <v/>
      </c>
      <c r="L716" s="2">
        <f>IF(H716="F",0,G716)</f>
        <v/>
      </c>
    </row>
    <row r="717">
      <c r="A717" s="2" t="inlineStr">
        <is>
          <t>m240117</t>
        </is>
      </c>
      <c r="B717" s="2">
        <f>IFERROR(VLOOKUP(A717,Students!$A:$B,2,FALSE),"")</f>
        <v/>
      </c>
      <c r="C717" s="2" t="inlineStr">
        <is>
          <t>Spring 2025</t>
        </is>
      </c>
      <c r="D717" s="2" t="inlineStr">
        <is>
          <t>Semester 2</t>
        </is>
      </c>
      <c r="E717" s="2" t="inlineStr">
        <is>
          <t>IAL 503</t>
        </is>
      </c>
      <c r="F717" s="2">
        <f>IFERROR(VLOOKUP(E717,Courses!$A:$C,2,FALSE),"")</f>
        <v/>
      </c>
      <c r="G717" s="2">
        <f>IFERROR(VLOOKUP(E717,Courses!$A:$C,3,FALSE),0)</f>
        <v/>
      </c>
      <c r="H717" s="2" t="inlineStr">
        <is>
          <t>C+</t>
        </is>
      </c>
      <c r="I717" s="2" t="n">
        <v>79</v>
      </c>
      <c r="J717" s="2">
        <f>IFERROR(VLOOKUP(H717,'Grade Scale'!$A:$B,2,FALSE),0)</f>
        <v/>
      </c>
      <c r="K717" s="2">
        <f>J717*G717</f>
        <v/>
      </c>
      <c r="L717" s="2">
        <f>IF(H717="F",0,G717)</f>
        <v/>
      </c>
    </row>
    <row r="718">
      <c r="A718" s="2" t="inlineStr">
        <is>
          <t>m240117</t>
        </is>
      </c>
      <c r="B718" s="2">
        <f>IFERROR(VLOOKUP(A718,Students!$A:$B,2,FALSE),"")</f>
        <v/>
      </c>
      <c r="C718" s="2" t="inlineStr">
        <is>
          <t>Spring 2025</t>
        </is>
      </c>
      <c r="D718" s="2" t="inlineStr">
        <is>
          <t>Semester 2</t>
        </is>
      </c>
      <c r="E718" s="2" t="inlineStr">
        <is>
          <t>FIN 560</t>
        </is>
      </c>
      <c r="F718" s="2">
        <f>IFERROR(VLOOKUP(E718,Courses!$A:$C,2,FALSE),"")</f>
        <v/>
      </c>
      <c r="G718" s="2">
        <f>IFERROR(VLOOKUP(E718,Courses!$A:$C,3,FALSE),0)</f>
        <v/>
      </c>
      <c r="H718" s="2" t="inlineStr">
        <is>
          <t>C</t>
        </is>
      </c>
      <c r="I718" s="2" t="n">
        <v>75</v>
      </c>
      <c r="J718" s="2">
        <f>IFERROR(VLOOKUP(H718,'Grade Scale'!$A:$B,2,FALSE),0)</f>
        <v/>
      </c>
      <c r="K718" s="2">
        <f>J718*G718</f>
        <v/>
      </c>
      <c r="L718" s="2">
        <f>IF(H718="F",0,G718)</f>
        <v/>
      </c>
    </row>
    <row r="719">
      <c r="A719" s="2" t="inlineStr">
        <is>
          <t>m240117</t>
        </is>
      </c>
      <c r="B719" s="2">
        <f>IFERROR(VLOOKUP(A719,Students!$A:$B,2,FALSE),"")</f>
        <v/>
      </c>
      <c r="C719" s="2" t="inlineStr">
        <is>
          <t>Spring 2025</t>
        </is>
      </c>
      <c r="D719" s="2" t="inlineStr">
        <is>
          <t>Semester 2</t>
        </is>
      </c>
      <c r="E719" s="2" t="inlineStr">
        <is>
          <t>TGM 551</t>
        </is>
      </c>
      <c r="F719" s="2">
        <f>IFERROR(VLOOKUP(E719,Courses!$A:$C,2,FALSE),"")</f>
        <v/>
      </c>
      <c r="G719" s="2">
        <f>IFERROR(VLOOKUP(E719,Courses!$A:$C,3,FALSE),0)</f>
        <v/>
      </c>
      <c r="H719" s="2" t="inlineStr">
        <is>
          <t>A-</t>
        </is>
      </c>
      <c r="I719" s="2" t="n">
        <v>91</v>
      </c>
      <c r="J719" s="2">
        <f>IFERROR(VLOOKUP(H719,'Grade Scale'!$A:$B,2,FALSE),0)</f>
        <v/>
      </c>
      <c r="K719" s="2">
        <f>J719*G719</f>
        <v/>
      </c>
      <c r="L719" s="2">
        <f>IF(H719="F",0,G719)</f>
        <v/>
      </c>
    </row>
    <row r="720">
      <c r="A720" s="2" t="inlineStr">
        <is>
          <t>m240117</t>
        </is>
      </c>
      <c r="B720" s="2">
        <f>IFERROR(VLOOKUP(A720,Students!$A:$B,2,FALSE),"")</f>
        <v/>
      </c>
      <c r="C720" s="2" t="inlineStr">
        <is>
          <t>Spring 2025</t>
        </is>
      </c>
      <c r="D720" s="2" t="inlineStr">
        <is>
          <t>Semester 2</t>
        </is>
      </c>
      <c r="E720" s="2" t="inlineStr">
        <is>
          <t>TAM 505</t>
        </is>
      </c>
      <c r="F720" s="2">
        <f>IFERROR(VLOOKUP(E720,Courses!$A:$C,2,FALSE),"")</f>
        <v/>
      </c>
      <c r="G720" s="2">
        <f>IFERROR(VLOOKUP(E720,Courses!$A:$C,3,FALSE),0)</f>
        <v/>
      </c>
      <c r="H720" s="2" t="inlineStr">
        <is>
          <t>C</t>
        </is>
      </c>
      <c r="I720" s="2" t="n">
        <v>75</v>
      </c>
      <c r="J720" s="2">
        <f>IFERROR(VLOOKUP(H720,'Grade Scale'!$A:$B,2,FALSE),0)</f>
        <v/>
      </c>
      <c r="K720" s="2">
        <f>J720*G720</f>
        <v/>
      </c>
      <c r="L720" s="2">
        <f>IF(H720="F",0,G720)</f>
        <v/>
      </c>
    </row>
    <row r="721">
      <c r="A721" s="2" t="inlineStr">
        <is>
          <t>m240117</t>
        </is>
      </c>
      <c r="B721" s="2">
        <f>IFERROR(VLOOKUP(A721,Students!$A:$B,2,FALSE),"")</f>
        <v/>
      </c>
      <c r="C721" s="2" t="inlineStr">
        <is>
          <t>Spring 2025</t>
        </is>
      </c>
      <c r="D721" s="2" t="inlineStr">
        <is>
          <t>Semester 2</t>
        </is>
      </c>
      <c r="E721" s="2" t="inlineStr">
        <is>
          <t>TGM 507</t>
        </is>
      </c>
      <c r="F721" s="2">
        <f>IFERROR(VLOOKUP(E721,Courses!$A:$C,2,FALSE),"")</f>
        <v/>
      </c>
      <c r="G721" s="2">
        <f>IFERROR(VLOOKUP(E721,Courses!$A:$C,3,FALSE),0)</f>
        <v/>
      </c>
      <c r="H721" s="2" t="inlineStr">
        <is>
          <t>C</t>
        </is>
      </c>
      <c r="I721" s="2" t="n">
        <v>73</v>
      </c>
      <c r="J721" s="2">
        <f>IFERROR(VLOOKUP(H721,'Grade Scale'!$A:$B,2,FALSE),0)</f>
        <v/>
      </c>
      <c r="K721" s="2">
        <f>J721*G721</f>
        <v/>
      </c>
      <c r="L721" s="2">
        <f>IF(H721="F",0,G721)</f>
        <v/>
      </c>
    </row>
    <row r="722">
      <c r="A722" s="2" t="inlineStr">
        <is>
          <t>m240117</t>
        </is>
      </c>
      <c r="B722" s="2">
        <f>IFERROR(VLOOKUP(A722,Students!$A:$B,2,FALSE),"")</f>
        <v/>
      </c>
      <c r="C722" s="2" t="inlineStr">
        <is>
          <t>Fall 2025</t>
        </is>
      </c>
      <c r="D722" s="2" t="inlineStr">
        <is>
          <t>Semester 3</t>
        </is>
      </c>
      <c r="E722" s="2" t="inlineStr">
        <is>
          <t>TGM 610</t>
        </is>
      </c>
      <c r="F722" s="2">
        <f>IFERROR(VLOOKUP(E722,Courses!$A:$C,2,FALSE),"")</f>
        <v/>
      </c>
      <c r="G722" s="2">
        <f>IFERROR(VLOOKUP(E722,Courses!$A:$C,3,FALSE),0)</f>
        <v/>
      </c>
      <c r="H722" s="2" t="inlineStr">
        <is>
          <t>C</t>
        </is>
      </c>
      <c r="I722" s="2" t="n">
        <v>73</v>
      </c>
      <c r="J722" s="2">
        <f>IFERROR(VLOOKUP(H722,'Grade Scale'!$A:$B,2,FALSE),0)</f>
        <v/>
      </c>
      <c r="K722" s="2">
        <f>J722*G722</f>
        <v/>
      </c>
      <c r="L722" s="2">
        <f>IF(H722="F",0,G722)</f>
        <v/>
      </c>
    </row>
    <row r="723">
      <c r="A723" s="2" t="inlineStr">
        <is>
          <t>m240117</t>
        </is>
      </c>
      <c r="B723" s="2">
        <f>IFERROR(VLOOKUP(A723,Students!$A:$B,2,FALSE),"")</f>
        <v/>
      </c>
      <c r="C723" s="2" t="inlineStr">
        <is>
          <t>Fall 2025</t>
        </is>
      </c>
      <c r="D723" s="2" t="inlineStr">
        <is>
          <t>Semester 3</t>
        </is>
      </c>
      <c r="E723" s="2" t="inlineStr">
        <is>
          <t>TGM 622</t>
        </is>
      </c>
      <c r="F723" s="2">
        <f>IFERROR(VLOOKUP(E723,Courses!$A:$C,2,FALSE),"")</f>
        <v/>
      </c>
      <c r="G723" s="2">
        <f>IFERROR(VLOOKUP(E723,Courses!$A:$C,3,FALSE),0)</f>
        <v/>
      </c>
      <c r="H723" s="2" t="inlineStr">
        <is>
          <t>C</t>
        </is>
      </c>
      <c r="I723" s="2" t="n">
        <v>73</v>
      </c>
      <c r="J723" s="2">
        <f>IFERROR(VLOOKUP(H723,'Grade Scale'!$A:$B,2,FALSE),0)</f>
        <v/>
      </c>
      <c r="K723" s="2">
        <f>J723*G723</f>
        <v/>
      </c>
      <c r="L723" s="2">
        <f>IF(H723="F",0,G723)</f>
        <v/>
      </c>
    </row>
    <row r="724">
      <c r="A724" s="2" t="inlineStr">
        <is>
          <t>m240117</t>
        </is>
      </c>
      <c r="B724" s="2">
        <f>IFERROR(VLOOKUP(A724,Students!$A:$B,2,FALSE),"")</f>
        <v/>
      </c>
      <c r="C724" s="2" t="inlineStr">
        <is>
          <t>Fall 2025</t>
        </is>
      </c>
      <c r="D724" s="2" t="inlineStr">
        <is>
          <t>Semester 3</t>
        </is>
      </c>
      <c r="E724" s="2" t="inlineStr">
        <is>
          <t>TAM 615</t>
        </is>
      </c>
      <c r="F724" s="2">
        <f>IFERROR(VLOOKUP(E724,Courses!$A:$C,2,FALSE),"")</f>
        <v/>
      </c>
      <c r="G724" s="2">
        <f>IFERROR(VLOOKUP(E724,Courses!$A:$C,3,FALSE),0)</f>
        <v/>
      </c>
      <c r="H724" s="2" t="inlineStr">
        <is>
          <t>B+</t>
        </is>
      </c>
      <c r="I724" s="2" t="n">
        <v>88</v>
      </c>
      <c r="J724" s="2">
        <f>IFERROR(VLOOKUP(H724,'Grade Scale'!$A:$B,2,FALSE),0)</f>
        <v/>
      </c>
      <c r="K724" s="2">
        <f>J724*G724</f>
        <v/>
      </c>
      <c r="L724" s="2">
        <f>IF(H724="F",0,G724)</f>
        <v/>
      </c>
    </row>
    <row r="725">
      <c r="A725" s="2" t="inlineStr">
        <is>
          <t>m240117</t>
        </is>
      </c>
      <c r="B725" s="2">
        <f>IFERROR(VLOOKUP(A725,Students!$A:$B,2,FALSE),"")</f>
        <v/>
      </c>
      <c r="C725" s="2" t="inlineStr">
        <is>
          <t>Fall 2025</t>
        </is>
      </c>
      <c r="D725" s="2" t="inlineStr">
        <is>
          <t>Semester 3</t>
        </is>
      </c>
      <c r="E725" s="2" t="inlineStr">
        <is>
          <t>TGM 630</t>
        </is>
      </c>
      <c r="F725" s="2">
        <f>IFERROR(VLOOKUP(E725,Courses!$A:$C,2,FALSE),"")</f>
        <v/>
      </c>
      <c r="G725" s="2">
        <f>IFERROR(VLOOKUP(E725,Courses!$A:$C,3,FALSE),0)</f>
        <v/>
      </c>
      <c r="H725" s="2" t="inlineStr">
        <is>
          <t>C-</t>
        </is>
      </c>
      <c r="I725" s="2" t="n">
        <v>72</v>
      </c>
      <c r="J725" s="2">
        <f>IFERROR(VLOOKUP(H725,'Grade Scale'!$A:$B,2,FALSE),0)</f>
        <v/>
      </c>
      <c r="K725" s="2">
        <f>J725*G725</f>
        <v/>
      </c>
      <c r="L725" s="2">
        <f>IF(H725="F",0,G725)</f>
        <v/>
      </c>
    </row>
    <row r="726">
      <c r="A726" s="2" t="inlineStr">
        <is>
          <t>m240117</t>
        </is>
      </c>
      <c r="B726" s="2">
        <f>IFERROR(VLOOKUP(A726,Students!$A:$B,2,FALSE),"")</f>
        <v/>
      </c>
      <c r="C726" s="2" t="inlineStr">
        <is>
          <t>Fall 2025</t>
        </is>
      </c>
      <c r="D726" s="2" t="inlineStr">
        <is>
          <t>Semester 3</t>
        </is>
      </c>
      <c r="E726" s="2" t="inlineStr">
        <is>
          <t>TGM 690</t>
        </is>
      </c>
      <c r="F726" s="2">
        <f>IFERROR(VLOOKUP(E726,Courses!$A:$C,2,FALSE),"")</f>
        <v/>
      </c>
      <c r="G726" s="2">
        <f>IFERROR(VLOOKUP(E726,Courses!$A:$C,3,FALSE),0)</f>
        <v/>
      </c>
      <c r="H726" s="2" t="inlineStr">
        <is>
          <t>C</t>
        </is>
      </c>
      <c r="I726" s="2" t="n">
        <v>74</v>
      </c>
      <c r="J726" s="2">
        <f>IFERROR(VLOOKUP(H726,'Grade Scale'!$A:$B,2,FALSE),0)</f>
        <v/>
      </c>
      <c r="K726" s="2">
        <f>J726*G726</f>
        <v/>
      </c>
      <c r="L726" s="2">
        <f>IF(H726="F",0,G726)</f>
        <v/>
      </c>
    </row>
    <row r="727">
      <c r="A727" s="2" t="inlineStr">
        <is>
          <t>m240117</t>
        </is>
      </c>
      <c r="B727" s="2">
        <f>IFERROR(VLOOKUP(A727,Students!$A:$B,2,FALSE),"")</f>
        <v/>
      </c>
      <c r="C727" s="2" t="inlineStr">
        <is>
          <t>Spring 2026</t>
        </is>
      </c>
      <c r="D727" s="2" t="inlineStr">
        <is>
          <t>Semester 4</t>
        </is>
      </c>
      <c r="E727" s="2" t="inlineStr">
        <is>
          <t>TGM 640</t>
        </is>
      </c>
      <c r="F727" s="2">
        <f>IFERROR(VLOOKUP(E727,Courses!$A:$C,2,FALSE),"")</f>
        <v/>
      </c>
      <c r="G727" s="2">
        <f>IFERROR(VLOOKUP(E727,Courses!$A:$C,3,FALSE),0)</f>
        <v/>
      </c>
      <c r="H727" s="2" t="inlineStr">
        <is>
          <t>C-</t>
        </is>
      </c>
      <c r="I727" s="2" t="n">
        <v>70</v>
      </c>
      <c r="J727" s="2">
        <f>IFERROR(VLOOKUP(H727,'Grade Scale'!$A:$B,2,FALSE),0)</f>
        <v/>
      </c>
      <c r="K727" s="2">
        <f>J727*G727</f>
        <v/>
      </c>
      <c r="L727" s="2">
        <f>IF(H727="F",0,G727)</f>
        <v/>
      </c>
    </row>
    <row r="728">
      <c r="A728" s="2" t="inlineStr">
        <is>
          <t>m240117</t>
        </is>
      </c>
      <c r="B728" s="2">
        <f>IFERROR(VLOOKUP(A728,Students!$A:$B,2,FALSE),"")</f>
        <v/>
      </c>
      <c r="C728" s="2" t="inlineStr">
        <is>
          <t>Spring 2026</t>
        </is>
      </c>
      <c r="D728" s="2" t="inlineStr">
        <is>
          <t>Semester 4</t>
        </is>
      </c>
      <c r="E728" s="2" t="inlineStr">
        <is>
          <t>TGM 650</t>
        </is>
      </c>
      <c r="F728" s="2">
        <f>IFERROR(VLOOKUP(E728,Courses!$A:$C,2,FALSE),"")</f>
        <v/>
      </c>
      <c r="G728" s="2">
        <f>IFERROR(VLOOKUP(E728,Courses!$A:$C,3,FALSE),0)</f>
        <v/>
      </c>
      <c r="H728" s="2" t="inlineStr">
        <is>
          <t>C-</t>
        </is>
      </c>
      <c r="I728" s="2" t="n">
        <v>70</v>
      </c>
      <c r="J728" s="2">
        <f>IFERROR(VLOOKUP(H728,'Grade Scale'!$A:$B,2,FALSE),0)</f>
        <v/>
      </c>
      <c r="K728" s="2">
        <f>J728*G728</f>
        <v/>
      </c>
      <c r="L728" s="2">
        <f>IF(H728="F",0,G728)</f>
        <v/>
      </c>
    </row>
    <row r="729">
      <c r="A729" s="2" t="inlineStr">
        <is>
          <t>m240117</t>
        </is>
      </c>
      <c r="B729" s="2">
        <f>IFERROR(VLOOKUP(A729,Students!$A:$B,2,FALSE),"")</f>
        <v/>
      </c>
      <c r="C729" s="2" t="inlineStr">
        <is>
          <t>Spring 2026</t>
        </is>
      </c>
      <c r="D729" s="2" t="inlineStr">
        <is>
          <t>Semester 4</t>
        </is>
      </c>
      <c r="E729" s="2" t="inlineStr">
        <is>
          <t>TGM 660</t>
        </is>
      </c>
      <c r="F729" s="2">
        <f>IFERROR(VLOOKUP(E729,Courses!$A:$C,2,FALSE),"")</f>
        <v/>
      </c>
      <c r="G729" s="2">
        <f>IFERROR(VLOOKUP(E729,Courses!$A:$C,3,FALSE),0)</f>
        <v/>
      </c>
      <c r="H729" s="2" t="inlineStr">
        <is>
          <t>C</t>
        </is>
      </c>
      <c r="I729" s="2" t="n">
        <v>76</v>
      </c>
      <c r="J729" s="2">
        <f>IFERROR(VLOOKUP(H729,'Grade Scale'!$A:$B,2,FALSE),0)</f>
        <v/>
      </c>
      <c r="K729" s="2">
        <f>J729*G729</f>
        <v/>
      </c>
      <c r="L729" s="2">
        <f>IF(H729="F",0,G729)</f>
        <v/>
      </c>
    </row>
    <row r="730">
      <c r="A730" s="2" t="inlineStr">
        <is>
          <t>m240117</t>
        </is>
      </c>
      <c r="B730" s="2">
        <f>IFERROR(VLOOKUP(A730,Students!$A:$B,2,FALSE),"")</f>
        <v/>
      </c>
      <c r="C730" s="2" t="inlineStr">
        <is>
          <t>Spring 2026</t>
        </is>
      </c>
      <c r="D730" s="2" t="inlineStr">
        <is>
          <t>Semester 4</t>
        </is>
      </c>
      <c r="E730" s="2" t="inlineStr">
        <is>
          <t>TGM 670</t>
        </is>
      </c>
      <c r="F730" s="2">
        <f>IFERROR(VLOOKUP(E730,Courses!$A:$C,2,FALSE),"")</f>
        <v/>
      </c>
      <c r="G730" s="2">
        <f>IFERROR(VLOOKUP(E730,Courses!$A:$C,3,FALSE),0)</f>
        <v/>
      </c>
      <c r="H730" s="2" t="inlineStr">
        <is>
          <t>B-</t>
        </is>
      </c>
      <c r="I730" s="2" t="n">
        <v>82</v>
      </c>
      <c r="J730" s="2">
        <f>IFERROR(VLOOKUP(H730,'Grade Scale'!$A:$B,2,FALSE),0)</f>
        <v/>
      </c>
      <c r="K730" s="2">
        <f>J730*G730</f>
        <v/>
      </c>
      <c r="L730" s="2">
        <f>IF(H730="F",0,G730)</f>
        <v/>
      </c>
    </row>
    <row r="731">
      <c r="A731" s="2" t="inlineStr">
        <is>
          <t>m240117</t>
        </is>
      </c>
      <c r="B731" s="2">
        <f>IFERROR(VLOOKUP(A731,Students!$A:$B,2,FALSE),"")</f>
        <v/>
      </c>
      <c r="C731" s="2" t="inlineStr">
        <is>
          <t>Spring 2026</t>
        </is>
      </c>
      <c r="D731" s="2" t="inlineStr">
        <is>
          <t>Semester 4</t>
        </is>
      </c>
      <c r="E731" s="2" t="inlineStr">
        <is>
          <t>TGM 699</t>
        </is>
      </c>
      <c r="F731" s="2">
        <f>IFERROR(VLOOKUP(E731,Courses!$A:$C,2,FALSE),"")</f>
        <v/>
      </c>
      <c r="G731" s="2">
        <f>IFERROR(VLOOKUP(E731,Courses!$A:$C,3,FALSE),0)</f>
        <v/>
      </c>
      <c r="H731" s="2" t="inlineStr">
        <is>
          <t>D+</t>
        </is>
      </c>
      <c r="I731" s="2" t="n">
        <v>69</v>
      </c>
      <c r="J731" s="2">
        <f>IFERROR(VLOOKUP(H731,'Grade Scale'!$A:$B,2,FALSE),0)</f>
        <v/>
      </c>
      <c r="K731" s="2">
        <f>J731*G731</f>
        <v/>
      </c>
      <c r="L731" s="2">
        <f>IF(H731="F",0,G731)</f>
        <v/>
      </c>
    </row>
    <row r="732">
      <c r="A732" s="2" t="inlineStr">
        <is>
          <t>m250219</t>
        </is>
      </c>
      <c r="B732" s="2">
        <f>IFERROR(VLOOKUP(A732,Students!$A:$B,2,FALSE),"")</f>
        <v/>
      </c>
      <c r="C732" s="2" t="inlineStr">
        <is>
          <t>Spring 2025</t>
        </is>
      </c>
      <c r="D732" s="2" t="inlineStr">
        <is>
          <t>Semester 1</t>
        </is>
      </c>
      <c r="E732" s="2" t="inlineStr">
        <is>
          <t>MBA 501</t>
        </is>
      </c>
      <c r="F732" s="2">
        <f>IFERROR(VLOOKUP(E732,Courses!$A:$C,2,FALSE),"")</f>
        <v/>
      </c>
      <c r="G732" s="2">
        <f>IFERROR(VLOOKUP(E732,Courses!$A:$C,3,FALSE),0)</f>
        <v/>
      </c>
      <c r="H732" s="2" t="inlineStr">
        <is>
          <t>C</t>
        </is>
      </c>
      <c r="I732" s="2" t="n">
        <v>73</v>
      </c>
      <c r="J732" s="2">
        <f>IFERROR(VLOOKUP(H732,'Grade Scale'!$A:$B,2,FALSE),0)</f>
        <v/>
      </c>
      <c r="K732" s="2">
        <f>J732*G732</f>
        <v/>
      </c>
      <c r="L732" s="2">
        <f>IF(H732="F",0,G732)</f>
        <v/>
      </c>
    </row>
    <row r="733">
      <c r="A733" s="2" t="inlineStr">
        <is>
          <t>m250219</t>
        </is>
      </c>
      <c r="B733" s="2">
        <f>IFERROR(VLOOKUP(A733,Students!$A:$B,2,FALSE),"")</f>
        <v/>
      </c>
      <c r="C733" s="2" t="inlineStr">
        <is>
          <t>Spring 2025</t>
        </is>
      </c>
      <c r="D733" s="2" t="inlineStr">
        <is>
          <t>Semester 1</t>
        </is>
      </c>
      <c r="E733" s="2" t="inlineStr">
        <is>
          <t>MBA 510</t>
        </is>
      </c>
      <c r="F733" s="2">
        <f>IFERROR(VLOOKUP(E733,Courses!$A:$C,2,FALSE),"")</f>
        <v/>
      </c>
      <c r="G733" s="2">
        <f>IFERROR(VLOOKUP(E733,Courses!$A:$C,3,FALSE),0)</f>
        <v/>
      </c>
      <c r="H733" s="2" t="inlineStr">
        <is>
          <t>B</t>
        </is>
      </c>
      <c r="I733" s="2" t="n">
        <v>83</v>
      </c>
      <c r="J733" s="2">
        <f>IFERROR(VLOOKUP(H733,'Grade Scale'!$A:$B,2,FALSE),0)</f>
        <v/>
      </c>
      <c r="K733" s="2">
        <f>J733*G733</f>
        <v/>
      </c>
      <c r="L733" s="2">
        <f>IF(H733="F",0,G733)</f>
        <v/>
      </c>
    </row>
    <row r="734">
      <c r="A734" s="2" t="inlineStr">
        <is>
          <t>m250219</t>
        </is>
      </c>
      <c r="B734" s="2">
        <f>IFERROR(VLOOKUP(A734,Students!$A:$B,2,FALSE),"")</f>
        <v/>
      </c>
      <c r="C734" s="2" t="inlineStr">
        <is>
          <t>Spring 2025</t>
        </is>
      </c>
      <c r="D734" s="2" t="inlineStr">
        <is>
          <t>Semester 1</t>
        </is>
      </c>
      <c r="E734" s="2" t="inlineStr">
        <is>
          <t>MBA 520</t>
        </is>
      </c>
      <c r="F734" s="2">
        <f>IFERROR(VLOOKUP(E734,Courses!$A:$C,2,FALSE),"")</f>
        <v/>
      </c>
      <c r="G734" s="2">
        <f>IFERROR(VLOOKUP(E734,Courses!$A:$C,3,FALSE),0)</f>
        <v/>
      </c>
      <c r="H734" s="2" t="inlineStr">
        <is>
          <t>B</t>
        </is>
      </c>
      <c r="I734" s="2" t="n">
        <v>83</v>
      </c>
      <c r="J734" s="2">
        <f>IFERROR(VLOOKUP(H734,'Grade Scale'!$A:$B,2,FALSE),0)</f>
        <v/>
      </c>
      <c r="K734" s="2">
        <f>J734*G734</f>
        <v/>
      </c>
      <c r="L734" s="2">
        <f>IF(H734="F",0,G734)</f>
        <v/>
      </c>
    </row>
    <row r="735">
      <c r="A735" s="2" t="inlineStr">
        <is>
          <t>m250219</t>
        </is>
      </c>
      <c r="B735" s="2">
        <f>IFERROR(VLOOKUP(A735,Students!$A:$B,2,FALSE),"")</f>
        <v/>
      </c>
      <c r="C735" s="2" t="inlineStr">
        <is>
          <t>Spring 2025</t>
        </is>
      </c>
      <c r="D735" s="2" t="inlineStr">
        <is>
          <t>Semester 1</t>
        </is>
      </c>
      <c r="E735" s="2" t="inlineStr">
        <is>
          <t>MBA 530</t>
        </is>
      </c>
      <c r="F735" s="2">
        <f>IFERROR(VLOOKUP(E735,Courses!$A:$C,2,FALSE),"")</f>
        <v/>
      </c>
      <c r="G735" s="2">
        <f>IFERROR(VLOOKUP(E735,Courses!$A:$C,3,FALSE),0)</f>
        <v/>
      </c>
      <c r="H735" s="2" t="inlineStr">
        <is>
          <t>C</t>
        </is>
      </c>
      <c r="I735" s="2" t="n">
        <v>74</v>
      </c>
      <c r="J735" s="2">
        <f>IFERROR(VLOOKUP(H735,'Grade Scale'!$A:$B,2,FALSE),0)</f>
        <v/>
      </c>
      <c r="K735" s="2">
        <f>J735*G735</f>
        <v/>
      </c>
      <c r="L735" s="2">
        <f>IF(H735="F",0,G735)</f>
        <v/>
      </c>
    </row>
    <row r="736">
      <c r="A736" s="2" t="inlineStr">
        <is>
          <t>m250219</t>
        </is>
      </c>
      <c r="B736" s="2">
        <f>IFERROR(VLOOKUP(A736,Students!$A:$B,2,FALSE),"")</f>
        <v/>
      </c>
      <c r="C736" s="2" t="inlineStr">
        <is>
          <t>Spring 2025</t>
        </is>
      </c>
      <c r="D736" s="2" t="inlineStr">
        <is>
          <t>Semester 1</t>
        </is>
      </c>
      <c r="E736" s="2" t="inlineStr">
        <is>
          <t>MBA 540</t>
        </is>
      </c>
      <c r="F736" s="2">
        <f>IFERROR(VLOOKUP(E736,Courses!$A:$C,2,FALSE),"")</f>
        <v/>
      </c>
      <c r="G736" s="2">
        <f>IFERROR(VLOOKUP(E736,Courses!$A:$C,3,FALSE),0)</f>
        <v/>
      </c>
      <c r="H736" s="2" t="inlineStr">
        <is>
          <t>C-</t>
        </is>
      </c>
      <c r="I736" s="2" t="n">
        <v>71</v>
      </c>
      <c r="J736" s="2">
        <f>IFERROR(VLOOKUP(H736,'Grade Scale'!$A:$B,2,FALSE),0)</f>
        <v/>
      </c>
      <c r="K736" s="2">
        <f>J736*G736</f>
        <v/>
      </c>
      <c r="L736" s="2">
        <f>IF(H736="F",0,G736)</f>
        <v/>
      </c>
    </row>
    <row r="737">
      <c r="A737" s="2" t="inlineStr">
        <is>
          <t>m250219</t>
        </is>
      </c>
      <c r="B737" s="2">
        <f>IFERROR(VLOOKUP(A737,Students!$A:$B,2,FALSE),"")</f>
        <v/>
      </c>
      <c r="C737" s="2" t="inlineStr">
        <is>
          <t>Fall 2025</t>
        </is>
      </c>
      <c r="D737" s="2" t="inlineStr">
        <is>
          <t>Semester 2</t>
        </is>
      </c>
      <c r="E737" s="2" t="inlineStr">
        <is>
          <t>MBA 550</t>
        </is>
      </c>
      <c r="F737" s="2">
        <f>IFERROR(VLOOKUP(E737,Courses!$A:$C,2,FALSE),"")</f>
        <v/>
      </c>
      <c r="G737" s="2">
        <f>IFERROR(VLOOKUP(E737,Courses!$A:$C,3,FALSE),0)</f>
        <v/>
      </c>
      <c r="H737" s="2" t="inlineStr">
        <is>
          <t>B-</t>
        </is>
      </c>
      <c r="I737" s="2" t="n">
        <v>80</v>
      </c>
      <c r="J737" s="2">
        <f>IFERROR(VLOOKUP(H737,'Grade Scale'!$A:$B,2,FALSE),0)</f>
        <v/>
      </c>
      <c r="K737" s="2">
        <f>J737*G737</f>
        <v/>
      </c>
      <c r="L737" s="2">
        <f>IF(H737="F",0,G737)</f>
        <v/>
      </c>
    </row>
    <row r="738">
      <c r="A738" s="2" t="inlineStr">
        <is>
          <t>m250219</t>
        </is>
      </c>
      <c r="B738" s="2">
        <f>IFERROR(VLOOKUP(A738,Students!$A:$B,2,FALSE),"")</f>
        <v/>
      </c>
      <c r="C738" s="2" t="inlineStr">
        <is>
          <t>Fall 2025</t>
        </is>
      </c>
      <c r="D738" s="2" t="inlineStr">
        <is>
          <t>Semester 2</t>
        </is>
      </c>
      <c r="E738" s="2" t="inlineStr">
        <is>
          <t>MBA 560</t>
        </is>
      </c>
      <c r="F738" s="2">
        <f>IFERROR(VLOOKUP(E738,Courses!$A:$C,2,FALSE),"")</f>
        <v/>
      </c>
      <c r="G738" s="2">
        <f>IFERROR(VLOOKUP(E738,Courses!$A:$C,3,FALSE),0)</f>
        <v/>
      </c>
      <c r="H738" s="2" t="inlineStr">
        <is>
          <t>D+</t>
        </is>
      </c>
      <c r="I738" s="2" t="n">
        <v>69</v>
      </c>
      <c r="J738" s="2">
        <f>IFERROR(VLOOKUP(H738,'Grade Scale'!$A:$B,2,FALSE),0)</f>
        <v/>
      </c>
      <c r="K738" s="2">
        <f>J738*G738</f>
        <v/>
      </c>
      <c r="L738" s="2">
        <f>IF(H738="F",0,G738)</f>
        <v/>
      </c>
    </row>
    <row r="739">
      <c r="A739" s="2" t="inlineStr">
        <is>
          <t>m250219</t>
        </is>
      </c>
      <c r="B739" s="2">
        <f>IFERROR(VLOOKUP(A739,Students!$A:$B,2,FALSE),"")</f>
        <v/>
      </c>
      <c r="C739" s="2" t="inlineStr">
        <is>
          <t>Fall 2025</t>
        </is>
      </c>
      <c r="D739" s="2" t="inlineStr">
        <is>
          <t>Semester 2</t>
        </is>
      </c>
      <c r="E739" s="2" t="inlineStr">
        <is>
          <t>MBA 570</t>
        </is>
      </c>
      <c r="F739" s="2">
        <f>IFERROR(VLOOKUP(E739,Courses!$A:$C,2,FALSE),"")</f>
        <v/>
      </c>
      <c r="G739" s="2">
        <f>IFERROR(VLOOKUP(E739,Courses!$A:$C,3,FALSE),0)</f>
        <v/>
      </c>
      <c r="H739" s="2" t="inlineStr">
        <is>
          <t>B</t>
        </is>
      </c>
      <c r="I739" s="2" t="n">
        <v>83</v>
      </c>
      <c r="J739" s="2">
        <f>IFERROR(VLOOKUP(H739,'Grade Scale'!$A:$B,2,FALSE),0)</f>
        <v/>
      </c>
      <c r="K739" s="2">
        <f>J739*G739</f>
        <v/>
      </c>
      <c r="L739" s="2">
        <f>IF(H739="F",0,G739)</f>
        <v/>
      </c>
    </row>
    <row r="740">
      <c r="A740" s="2" t="inlineStr">
        <is>
          <t>m250219</t>
        </is>
      </c>
      <c r="B740" s="2">
        <f>IFERROR(VLOOKUP(A740,Students!$A:$B,2,FALSE),"")</f>
        <v/>
      </c>
      <c r="C740" s="2" t="inlineStr">
        <is>
          <t>Fall 2025</t>
        </is>
      </c>
      <c r="D740" s="2" t="inlineStr">
        <is>
          <t>Semester 2</t>
        </is>
      </c>
      <c r="E740" s="2" t="inlineStr">
        <is>
          <t>MBA 580</t>
        </is>
      </c>
      <c r="F740" s="2">
        <f>IFERROR(VLOOKUP(E740,Courses!$A:$C,2,FALSE),"")</f>
        <v/>
      </c>
      <c r="G740" s="2">
        <f>IFERROR(VLOOKUP(E740,Courses!$A:$C,3,FALSE),0)</f>
        <v/>
      </c>
      <c r="H740" s="2" t="inlineStr">
        <is>
          <t>C-</t>
        </is>
      </c>
      <c r="I740" s="2" t="n">
        <v>72</v>
      </c>
      <c r="J740" s="2">
        <f>IFERROR(VLOOKUP(H740,'Grade Scale'!$A:$B,2,FALSE),0)</f>
        <v/>
      </c>
      <c r="K740" s="2">
        <f>J740*G740</f>
        <v/>
      </c>
      <c r="L740" s="2">
        <f>IF(H740="F",0,G740)</f>
        <v/>
      </c>
    </row>
    <row r="741">
      <c r="A741" s="2" t="inlineStr">
        <is>
          <t>m250219</t>
        </is>
      </c>
      <c r="B741" s="2">
        <f>IFERROR(VLOOKUP(A741,Students!$A:$B,2,FALSE),"")</f>
        <v/>
      </c>
      <c r="C741" s="2" t="inlineStr">
        <is>
          <t>Fall 2025</t>
        </is>
      </c>
      <c r="D741" s="2" t="inlineStr">
        <is>
          <t>Semester 2</t>
        </is>
      </c>
      <c r="E741" s="2" t="inlineStr">
        <is>
          <t>MBA 590</t>
        </is>
      </c>
      <c r="F741" s="2">
        <f>IFERROR(VLOOKUP(E741,Courses!$A:$C,2,FALSE),"")</f>
        <v/>
      </c>
      <c r="G741" s="2">
        <f>IFERROR(VLOOKUP(E741,Courses!$A:$C,3,FALSE),0)</f>
        <v/>
      </c>
      <c r="H741" s="2" t="inlineStr">
        <is>
          <t>C</t>
        </is>
      </c>
      <c r="I741" s="2" t="n">
        <v>75</v>
      </c>
      <c r="J741" s="2">
        <f>IFERROR(VLOOKUP(H741,'Grade Scale'!$A:$B,2,FALSE),0)</f>
        <v/>
      </c>
      <c r="K741" s="2">
        <f>J741*G741</f>
        <v/>
      </c>
      <c r="L741" s="2">
        <f>IF(H741="F",0,G741)</f>
        <v/>
      </c>
    </row>
    <row r="742">
      <c r="A742" s="2" t="inlineStr">
        <is>
          <t>m250219</t>
        </is>
      </c>
      <c r="B742" s="2">
        <f>IFERROR(VLOOKUP(A742,Students!$A:$B,2,FALSE),"")</f>
        <v/>
      </c>
      <c r="C742" s="2" t="inlineStr">
        <is>
          <t>Spring 2026</t>
        </is>
      </c>
      <c r="D742" s="2" t="inlineStr">
        <is>
          <t>Semester 3</t>
        </is>
      </c>
      <c r="E742" s="2" t="inlineStr">
        <is>
          <t>MBA 610</t>
        </is>
      </c>
      <c r="F742" s="2">
        <f>IFERROR(VLOOKUP(E742,Courses!$A:$C,2,FALSE),"")</f>
        <v/>
      </c>
      <c r="G742" s="2">
        <f>IFERROR(VLOOKUP(E742,Courses!$A:$C,3,FALSE),0)</f>
        <v/>
      </c>
      <c r="H742" s="2" t="inlineStr">
        <is>
          <t>C+</t>
        </is>
      </c>
      <c r="I742" s="2" t="n">
        <v>78</v>
      </c>
      <c r="J742" s="2">
        <f>IFERROR(VLOOKUP(H742,'Grade Scale'!$A:$B,2,FALSE),0)</f>
        <v/>
      </c>
      <c r="K742" s="2">
        <f>J742*G742</f>
        <v/>
      </c>
      <c r="L742" s="2">
        <f>IF(H742="F",0,G742)</f>
        <v/>
      </c>
    </row>
    <row r="743">
      <c r="A743" s="2" t="inlineStr">
        <is>
          <t>m250219</t>
        </is>
      </c>
      <c r="B743" s="2">
        <f>IFERROR(VLOOKUP(A743,Students!$A:$B,2,FALSE),"")</f>
        <v/>
      </c>
      <c r="C743" s="2" t="inlineStr">
        <is>
          <t>Spring 2026</t>
        </is>
      </c>
      <c r="D743" s="2" t="inlineStr">
        <is>
          <t>Semester 3</t>
        </is>
      </c>
      <c r="E743" s="2" t="inlineStr">
        <is>
          <t>MBA 620</t>
        </is>
      </c>
      <c r="F743" s="2">
        <f>IFERROR(VLOOKUP(E743,Courses!$A:$C,2,FALSE),"")</f>
        <v/>
      </c>
      <c r="G743" s="2">
        <f>IFERROR(VLOOKUP(E743,Courses!$A:$C,3,FALSE),0)</f>
        <v/>
      </c>
      <c r="H743" s="2" t="inlineStr">
        <is>
          <t>C+</t>
        </is>
      </c>
      <c r="I743" s="2" t="n">
        <v>79</v>
      </c>
      <c r="J743" s="2">
        <f>IFERROR(VLOOKUP(H743,'Grade Scale'!$A:$B,2,FALSE),0)</f>
        <v/>
      </c>
      <c r="K743" s="2">
        <f>J743*G743</f>
        <v/>
      </c>
      <c r="L743" s="2">
        <f>IF(H743="F",0,G743)</f>
        <v/>
      </c>
    </row>
    <row r="744">
      <c r="A744" s="2" t="inlineStr">
        <is>
          <t>m250219</t>
        </is>
      </c>
      <c r="B744" s="2">
        <f>IFERROR(VLOOKUP(A744,Students!$A:$B,2,FALSE),"")</f>
        <v/>
      </c>
      <c r="C744" s="2" t="inlineStr">
        <is>
          <t>Spring 2026</t>
        </is>
      </c>
      <c r="D744" s="2" t="inlineStr">
        <is>
          <t>Semester 3</t>
        </is>
      </c>
      <c r="E744" s="2" t="inlineStr">
        <is>
          <t>MBA 630</t>
        </is>
      </c>
      <c r="F744" s="2">
        <f>IFERROR(VLOOKUP(E744,Courses!$A:$C,2,FALSE),"")</f>
        <v/>
      </c>
      <c r="G744" s="2">
        <f>IFERROR(VLOOKUP(E744,Courses!$A:$C,3,FALSE),0)</f>
        <v/>
      </c>
      <c r="H744" s="2" t="inlineStr">
        <is>
          <t>B</t>
        </is>
      </c>
      <c r="I744" s="2" t="n">
        <v>85</v>
      </c>
      <c r="J744" s="2">
        <f>IFERROR(VLOOKUP(H744,'Grade Scale'!$A:$B,2,FALSE),0)</f>
        <v/>
      </c>
      <c r="K744" s="2">
        <f>J744*G744</f>
        <v/>
      </c>
      <c r="L744" s="2">
        <f>IF(H744="F",0,G744)</f>
        <v/>
      </c>
    </row>
    <row r="745">
      <c r="A745" s="2" t="inlineStr">
        <is>
          <t>m250219</t>
        </is>
      </c>
      <c r="B745" s="2">
        <f>IFERROR(VLOOKUP(A745,Students!$A:$B,2,FALSE),"")</f>
        <v/>
      </c>
      <c r="C745" s="2" t="inlineStr">
        <is>
          <t>Spring 2026</t>
        </is>
      </c>
      <c r="D745" s="2" t="inlineStr">
        <is>
          <t>Semester 3</t>
        </is>
      </c>
      <c r="E745" s="2" t="inlineStr">
        <is>
          <t>MBA 640</t>
        </is>
      </c>
      <c r="F745" s="2">
        <f>IFERROR(VLOOKUP(E745,Courses!$A:$C,2,FALSE),"")</f>
        <v/>
      </c>
      <c r="G745" s="2">
        <f>IFERROR(VLOOKUP(E745,Courses!$A:$C,3,FALSE),0)</f>
        <v/>
      </c>
      <c r="H745" s="2" t="inlineStr">
        <is>
          <t>C+</t>
        </is>
      </c>
      <c r="I745" s="2" t="n">
        <v>77</v>
      </c>
      <c r="J745" s="2">
        <f>IFERROR(VLOOKUP(H745,'Grade Scale'!$A:$B,2,FALSE),0)</f>
        <v/>
      </c>
      <c r="K745" s="2">
        <f>J745*G745</f>
        <v/>
      </c>
      <c r="L745" s="2">
        <f>IF(H745="F",0,G745)</f>
        <v/>
      </c>
    </row>
    <row r="746">
      <c r="A746" s="2" t="inlineStr">
        <is>
          <t>m250219</t>
        </is>
      </c>
      <c r="B746" s="2">
        <f>IFERROR(VLOOKUP(A746,Students!$A:$B,2,FALSE),"")</f>
        <v/>
      </c>
      <c r="C746" s="2" t="inlineStr">
        <is>
          <t>Spring 2026</t>
        </is>
      </c>
      <c r="D746" s="2" t="inlineStr">
        <is>
          <t>Semester 3</t>
        </is>
      </c>
      <c r="E746" s="2" t="inlineStr">
        <is>
          <t>MBA 690</t>
        </is>
      </c>
      <c r="F746" s="2">
        <f>IFERROR(VLOOKUP(E746,Courses!$A:$C,2,FALSE),"")</f>
        <v/>
      </c>
      <c r="G746" s="2">
        <f>IFERROR(VLOOKUP(E746,Courses!$A:$C,3,FALSE),0)</f>
        <v/>
      </c>
      <c r="H746" s="2" t="inlineStr">
        <is>
          <t>B</t>
        </is>
      </c>
      <c r="I746" s="2" t="n">
        <v>86</v>
      </c>
      <c r="J746" s="2">
        <f>IFERROR(VLOOKUP(H746,'Grade Scale'!$A:$B,2,FALSE),0)</f>
        <v/>
      </c>
      <c r="K746" s="2">
        <f>J746*G746</f>
        <v/>
      </c>
      <c r="L746" s="2">
        <f>IF(H746="F",0,G746)</f>
        <v/>
      </c>
    </row>
  </sheetData>
  <autoFilter ref="A1:L7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11" customWidth="1" min="4" max="4"/>
  </cols>
  <sheetData>
    <row r="1" ht="30" customHeight="1">
      <c r="A1" s="1" t="inlineStr">
        <is>
          <t>Letter</t>
        </is>
      </c>
      <c r="B1" s="1" t="inlineStr">
        <is>
          <t>Grade Points</t>
        </is>
      </c>
      <c r="C1" s="1" t="inlineStr">
        <is>
          <t>Min Score</t>
        </is>
      </c>
      <c r="D1" s="1" t="inlineStr">
        <is>
          <t>Max Score</t>
        </is>
      </c>
    </row>
    <row r="2">
      <c r="A2" s="2" t="inlineStr">
        <is>
          <t>A</t>
        </is>
      </c>
      <c r="B2" s="2" t="n">
        <v>4</v>
      </c>
      <c r="C2" s="2" t="n">
        <v>93</v>
      </c>
      <c r="D2" s="2" t="n">
        <v>100</v>
      </c>
    </row>
    <row r="3">
      <c r="A3" s="2" t="inlineStr">
        <is>
          <t>A-</t>
        </is>
      </c>
      <c r="B3" s="2" t="n">
        <v>3.7</v>
      </c>
      <c r="C3" s="2" t="n">
        <v>90</v>
      </c>
      <c r="D3" s="2" t="n">
        <v>92</v>
      </c>
    </row>
    <row r="4">
      <c r="A4" s="2" t="inlineStr">
        <is>
          <t>B+</t>
        </is>
      </c>
      <c r="B4" s="2" t="n">
        <v>3.3</v>
      </c>
      <c r="C4" s="2" t="n">
        <v>87</v>
      </c>
      <c r="D4" s="2" t="n">
        <v>89</v>
      </c>
    </row>
    <row r="5">
      <c r="A5" s="2" t="inlineStr">
        <is>
          <t>B</t>
        </is>
      </c>
      <c r="B5" s="2" t="n">
        <v>3</v>
      </c>
      <c r="C5" s="2" t="n">
        <v>83</v>
      </c>
      <c r="D5" s="2" t="n">
        <v>86</v>
      </c>
    </row>
    <row r="6">
      <c r="A6" s="2" t="inlineStr">
        <is>
          <t>B-</t>
        </is>
      </c>
      <c r="B6" s="2" t="n">
        <v>2.7</v>
      </c>
      <c r="C6" s="2" t="n">
        <v>80</v>
      </c>
      <c r="D6" s="2" t="n">
        <v>82</v>
      </c>
    </row>
    <row r="7">
      <c r="A7" s="2" t="inlineStr">
        <is>
          <t>C+</t>
        </is>
      </c>
      <c r="B7" s="2" t="n">
        <v>2.3</v>
      </c>
      <c r="C7" s="2" t="n">
        <v>77</v>
      </c>
      <c r="D7" s="2" t="n">
        <v>79</v>
      </c>
    </row>
    <row r="8">
      <c r="A8" s="2" t="inlineStr">
        <is>
          <t>C</t>
        </is>
      </c>
      <c r="B8" s="2" t="n">
        <v>2</v>
      </c>
      <c r="C8" s="2" t="n">
        <v>73</v>
      </c>
      <c r="D8" s="2" t="n">
        <v>76</v>
      </c>
    </row>
    <row r="9">
      <c r="A9" s="2" t="inlineStr">
        <is>
          <t>C-</t>
        </is>
      </c>
      <c r="B9" s="2" t="n">
        <v>1.7</v>
      </c>
      <c r="C9" s="2" t="n">
        <v>70</v>
      </c>
      <c r="D9" s="2" t="n">
        <v>72</v>
      </c>
    </row>
    <row r="10">
      <c r="A10" s="2" t="inlineStr">
        <is>
          <t>D+</t>
        </is>
      </c>
      <c r="B10" s="2" t="n">
        <v>1.3</v>
      </c>
      <c r="C10" s="2" t="n">
        <v>67</v>
      </c>
      <c r="D10" s="2" t="n">
        <v>69</v>
      </c>
    </row>
    <row r="11">
      <c r="A11" s="2" t="inlineStr">
        <is>
          <t>D</t>
        </is>
      </c>
      <c r="B11" s="2" t="n">
        <v>1</v>
      </c>
      <c r="C11" s="2" t="n">
        <v>60</v>
      </c>
      <c r="D11" s="2" t="n">
        <v>66</v>
      </c>
    </row>
    <row r="12">
      <c r="A12" s="2" t="inlineStr">
        <is>
          <t>F</t>
        </is>
      </c>
      <c r="B12" s="2" t="n">
        <v>0</v>
      </c>
      <c r="C12" s="2" t="n">
        <v>0</v>
      </c>
      <c r="D12" s="2" t="n">
        <v>59</v>
      </c>
    </row>
  </sheetData>
  <autoFilter ref="A1:D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3" customWidth="1" min="10" max="10"/>
  </cols>
  <sheetData>
    <row r="1" ht="30" customHeight="1">
      <c r="A1" s="1" t="inlineStr">
        <is>
          <t>Student ID</t>
        </is>
      </c>
      <c r="B1" s="1" t="inlineStr">
        <is>
          <t>Student Name</t>
        </is>
      </c>
      <c r="C1" s="1" t="inlineStr">
        <is>
          <t>Program</t>
        </is>
      </c>
      <c r="D1" s="1" t="inlineStr">
        <is>
          <t>Fall 2024 GPA</t>
        </is>
      </c>
      <c r="E1" s="1" t="inlineStr">
        <is>
          <t>Spring 2025 GPA</t>
        </is>
      </c>
      <c r="F1" s="1" t="inlineStr">
        <is>
          <t>Fall 2025 GPA</t>
        </is>
      </c>
      <c r="G1" s="1" t="inlineStr">
        <is>
          <t>Spring 2026 GPA</t>
        </is>
      </c>
      <c r="H1" s="1" t="inlineStr">
        <is>
          <t>Cumulative GPA</t>
        </is>
      </c>
      <c r="I1" s="1" t="inlineStr">
        <is>
          <t>ECTS Attempted</t>
        </is>
      </c>
      <c r="J1" s="1" t="inlineStr">
        <is>
          <t>ECTS Earned</t>
        </is>
      </c>
    </row>
    <row r="2">
      <c r="A2" s="2" t="inlineStr">
        <is>
          <t>m240101</t>
        </is>
      </c>
      <c r="B2" s="2">
        <f>VLOOKUP(A2,Students!$A:$B,2,FALSE)</f>
        <v/>
      </c>
      <c r="C2" s="2">
        <f>VLOOKUP(A2,Students!$A:$E,5,FALSE)</f>
        <v/>
      </c>
      <c r="D2" s="2">
        <f>IFERROR(ROUND(SUMIFS(Grades!$K:$K,Grades!$A:$A,$A2,Grades!$C:$C,"Fall 2024")/SUMIFS(Grades!$G:$G,Grades!$A:$A,$A2,Grades!$C:$C,"Fall 2024"),2),"")</f>
        <v/>
      </c>
      <c r="E2" s="2">
        <f>IFERROR(ROUND(SUMIFS(Grades!$K:$K,Grades!$A:$A,$A2,Grades!$C:$C,"Spring 2025")/SUMIFS(Grades!$G:$G,Grades!$A:$A,$A2,Grades!$C:$C,"Spring 2025"),2),"")</f>
        <v/>
      </c>
      <c r="F2" s="2">
        <f>IFERROR(ROUND(SUMIFS(Grades!$K:$K,Grades!$A:$A,$A2,Grades!$C:$C,"Fall 2025")/SUMIFS(Grades!$G:$G,Grades!$A:$A,$A2,Grades!$C:$C,"Fall 2025"),2),"")</f>
        <v/>
      </c>
      <c r="G2" s="2">
        <f>IFERROR(ROUND(SUMIFS(Grades!$K:$K,Grades!$A:$A,$A2,Grades!$C:$C,"Spring 2026")/SUMIFS(Grades!$G:$G,Grades!$A:$A,$A2,Grades!$C:$C,"Spring 2026"),2),"")</f>
        <v/>
      </c>
      <c r="H2" s="2">
        <f>IFERROR(ROUND(SUMIFS(Grades!$K:$K,Grades!$A:$A,$A2)/SUMIFS(Grades!$G:$G,Grades!$A:$A,$A2),2),"")</f>
        <v/>
      </c>
      <c r="I2" s="2">
        <f>SUMIFS(Grades!$G:$G,Grades!$A:$A,$A2)</f>
        <v/>
      </c>
      <c r="J2" s="2">
        <f>SUMIFS(Grades!$L:$L,Grades!$A:$A,$A2)</f>
        <v/>
      </c>
    </row>
    <row r="3">
      <c r="A3" s="2" t="inlineStr">
        <is>
          <t>m240102</t>
        </is>
      </c>
      <c r="B3" s="2">
        <f>VLOOKUP(A3,Students!$A:$B,2,FALSE)</f>
        <v/>
      </c>
      <c r="C3" s="2">
        <f>VLOOKUP(A3,Students!$A:$E,5,FALSE)</f>
        <v/>
      </c>
      <c r="D3" s="2">
        <f>IFERROR(ROUND(SUMIFS(Grades!$K:$K,Grades!$A:$A,$A3,Grades!$C:$C,"Fall 2024")/SUMIFS(Grades!$G:$G,Grades!$A:$A,$A3,Grades!$C:$C,"Fall 2024"),2),"")</f>
        <v/>
      </c>
      <c r="E3" s="2">
        <f>IFERROR(ROUND(SUMIFS(Grades!$K:$K,Grades!$A:$A,$A3,Grades!$C:$C,"Spring 2025")/SUMIFS(Grades!$G:$G,Grades!$A:$A,$A3,Grades!$C:$C,"Spring 2025"),2),"")</f>
        <v/>
      </c>
      <c r="F3" s="2">
        <f>IFERROR(ROUND(SUMIFS(Grades!$K:$K,Grades!$A:$A,$A3,Grades!$C:$C,"Fall 2025")/SUMIFS(Grades!$G:$G,Grades!$A:$A,$A3,Grades!$C:$C,"Fall 2025"),2),"")</f>
        <v/>
      </c>
      <c r="G3" s="2">
        <f>IFERROR(ROUND(SUMIFS(Grades!$K:$K,Grades!$A:$A,$A3,Grades!$C:$C,"Spring 2026")/SUMIFS(Grades!$G:$G,Grades!$A:$A,$A3,Grades!$C:$C,"Spring 2026"),2),"")</f>
        <v/>
      </c>
      <c r="H3" s="2">
        <f>IFERROR(ROUND(SUMIFS(Grades!$K:$K,Grades!$A:$A,$A3)/SUMIFS(Grades!$G:$G,Grades!$A:$A,$A3),2),"")</f>
        <v/>
      </c>
      <c r="I3" s="2">
        <f>SUMIFS(Grades!$G:$G,Grades!$A:$A,$A3)</f>
        <v/>
      </c>
      <c r="J3" s="2">
        <f>SUMIFS(Grades!$L:$L,Grades!$A:$A,$A3)</f>
        <v/>
      </c>
    </row>
    <row r="4">
      <c r="A4" s="2" t="inlineStr">
        <is>
          <t>m240103</t>
        </is>
      </c>
      <c r="B4" s="2">
        <f>VLOOKUP(A4,Students!$A:$B,2,FALSE)</f>
        <v/>
      </c>
      <c r="C4" s="2">
        <f>VLOOKUP(A4,Students!$A:$E,5,FALSE)</f>
        <v/>
      </c>
      <c r="D4" s="2">
        <f>IFERROR(ROUND(SUMIFS(Grades!$K:$K,Grades!$A:$A,$A4,Grades!$C:$C,"Fall 2024")/SUMIFS(Grades!$G:$G,Grades!$A:$A,$A4,Grades!$C:$C,"Fall 2024"),2),"")</f>
        <v/>
      </c>
      <c r="E4" s="2">
        <f>IFERROR(ROUND(SUMIFS(Grades!$K:$K,Grades!$A:$A,$A4,Grades!$C:$C,"Spring 2025")/SUMIFS(Grades!$G:$G,Grades!$A:$A,$A4,Grades!$C:$C,"Spring 2025"),2),"")</f>
        <v/>
      </c>
      <c r="F4" s="2">
        <f>IFERROR(ROUND(SUMIFS(Grades!$K:$K,Grades!$A:$A,$A4,Grades!$C:$C,"Fall 2025")/SUMIFS(Grades!$G:$G,Grades!$A:$A,$A4,Grades!$C:$C,"Fall 2025"),2),"")</f>
        <v/>
      </c>
      <c r="G4" s="2">
        <f>IFERROR(ROUND(SUMIFS(Grades!$K:$K,Grades!$A:$A,$A4,Grades!$C:$C,"Spring 2026")/SUMIFS(Grades!$G:$G,Grades!$A:$A,$A4,Grades!$C:$C,"Spring 2026"),2),"")</f>
        <v/>
      </c>
      <c r="H4" s="2">
        <f>IFERROR(ROUND(SUMIFS(Grades!$K:$K,Grades!$A:$A,$A4)/SUMIFS(Grades!$G:$G,Grades!$A:$A,$A4),2),"")</f>
        <v/>
      </c>
      <c r="I4" s="2">
        <f>SUMIFS(Grades!$G:$G,Grades!$A:$A,$A4)</f>
        <v/>
      </c>
      <c r="J4" s="2">
        <f>SUMIFS(Grades!$L:$L,Grades!$A:$A,$A4)</f>
        <v/>
      </c>
    </row>
    <row r="5">
      <c r="A5" s="2" t="inlineStr">
        <is>
          <t>m240104</t>
        </is>
      </c>
      <c r="B5" s="2">
        <f>VLOOKUP(A5,Students!$A:$B,2,FALSE)</f>
        <v/>
      </c>
      <c r="C5" s="2">
        <f>VLOOKUP(A5,Students!$A:$E,5,FALSE)</f>
        <v/>
      </c>
      <c r="D5" s="2">
        <f>IFERROR(ROUND(SUMIFS(Grades!$K:$K,Grades!$A:$A,$A5,Grades!$C:$C,"Fall 2024")/SUMIFS(Grades!$G:$G,Grades!$A:$A,$A5,Grades!$C:$C,"Fall 2024"),2),"")</f>
        <v/>
      </c>
      <c r="E5" s="2">
        <f>IFERROR(ROUND(SUMIFS(Grades!$K:$K,Grades!$A:$A,$A5,Grades!$C:$C,"Spring 2025")/SUMIFS(Grades!$G:$G,Grades!$A:$A,$A5,Grades!$C:$C,"Spring 2025"),2),"")</f>
        <v/>
      </c>
      <c r="F5" s="2">
        <f>IFERROR(ROUND(SUMIFS(Grades!$K:$K,Grades!$A:$A,$A5,Grades!$C:$C,"Fall 2025")/SUMIFS(Grades!$G:$G,Grades!$A:$A,$A5,Grades!$C:$C,"Fall 2025"),2),"")</f>
        <v/>
      </c>
      <c r="G5" s="2">
        <f>IFERROR(ROUND(SUMIFS(Grades!$K:$K,Grades!$A:$A,$A5,Grades!$C:$C,"Spring 2026")/SUMIFS(Grades!$G:$G,Grades!$A:$A,$A5,Grades!$C:$C,"Spring 2026"),2),"")</f>
        <v/>
      </c>
      <c r="H5" s="2">
        <f>IFERROR(ROUND(SUMIFS(Grades!$K:$K,Grades!$A:$A,$A5)/SUMIFS(Grades!$G:$G,Grades!$A:$A,$A5),2),"")</f>
        <v/>
      </c>
      <c r="I5" s="2">
        <f>SUMIFS(Grades!$G:$G,Grades!$A:$A,$A5)</f>
        <v/>
      </c>
      <c r="J5" s="2">
        <f>SUMIFS(Grades!$L:$L,Grades!$A:$A,$A5)</f>
        <v/>
      </c>
    </row>
    <row r="6">
      <c r="A6" s="2" t="inlineStr">
        <is>
          <t>m240105</t>
        </is>
      </c>
      <c r="B6" s="2">
        <f>VLOOKUP(A6,Students!$A:$B,2,FALSE)</f>
        <v/>
      </c>
      <c r="C6" s="2">
        <f>VLOOKUP(A6,Students!$A:$E,5,FALSE)</f>
        <v/>
      </c>
      <c r="D6" s="2">
        <f>IFERROR(ROUND(SUMIFS(Grades!$K:$K,Grades!$A:$A,$A6,Grades!$C:$C,"Fall 2024")/SUMIFS(Grades!$G:$G,Grades!$A:$A,$A6,Grades!$C:$C,"Fall 2024"),2),"")</f>
        <v/>
      </c>
      <c r="E6" s="2">
        <f>IFERROR(ROUND(SUMIFS(Grades!$K:$K,Grades!$A:$A,$A6,Grades!$C:$C,"Spring 2025")/SUMIFS(Grades!$G:$G,Grades!$A:$A,$A6,Grades!$C:$C,"Spring 2025"),2),"")</f>
        <v/>
      </c>
      <c r="F6" s="2">
        <f>IFERROR(ROUND(SUMIFS(Grades!$K:$K,Grades!$A:$A,$A6,Grades!$C:$C,"Fall 2025")/SUMIFS(Grades!$G:$G,Grades!$A:$A,$A6,Grades!$C:$C,"Fall 2025"),2),"")</f>
        <v/>
      </c>
      <c r="G6" s="2">
        <f>IFERROR(ROUND(SUMIFS(Grades!$K:$K,Grades!$A:$A,$A6,Grades!$C:$C,"Spring 2026")/SUMIFS(Grades!$G:$G,Grades!$A:$A,$A6,Grades!$C:$C,"Spring 2026"),2),"")</f>
        <v/>
      </c>
      <c r="H6" s="2">
        <f>IFERROR(ROUND(SUMIFS(Grades!$K:$K,Grades!$A:$A,$A6)/SUMIFS(Grades!$G:$G,Grades!$A:$A,$A6),2),"")</f>
        <v/>
      </c>
      <c r="I6" s="2">
        <f>SUMIFS(Grades!$G:$G,Grades!$A:$A,$A6)</f>
        <v/>
      </c>
      <c r="J6" s="2">
        <f>SUMIFS(Grades!$L:$L,Grades!$A:$A,$A6)</f>
        <v/>
      </c>
    </row>
    <row r="7">
      <c r="A7" s="2" t="inlineStr">
        <is>
          <t>m240106</t>
        </is>
      </c>
      <c r="B7" s="2">
        <f>VLOOKUP(A7,Students!$A:$B,2,FALSE)</f>
        <v/>
      </c>
      <c r="C7" s="2">
        <f>VLOOKUP(A7,Students!$A:$E,5,FALSE)</f>
        <v/>
      </c>
      <c r="D7" s="2">
        <f>IFERROR(ROUND(SUMIFS(Grades!$K:$K,Grades!$A:$A,$A7,Grades!$C:$C,"Fall 2024")/SUMIFS(Grades!$G:$G,Grades!$A:$A,$A7,Grades!$C:$C,"Fall 2024"),2),"")</f>
        <v/>
      </c>
      <c r="E7" s="2">
        <f>IFERROR(ROUND(SUMIFS(Grades!$K:$K,Grades!$A:$A,$A7,Grades!$C:$C,"Spring 2025")/SUMIFS(Grades!$G:$G,Grades!$A:$A,$A7,Grades!$C:$C,"Spring 2025"),2),"")</f>
        <v/>
      </c>
      <c r="F7" s="2">
        <f>IFERROR(ROUND(SUMIFS(Grades!$K:$K,Grades!$A:$A,$A7,Grades!$C:$C,"Fall 2025")/SUMIFS(Grades!$G:$G,Grades!$A:$A,$A7,Grades!$C:$C,"Fall 2025"),2),"")</f>
        <v/>
      </c>
      <c r="G7" s="2">
        <f>IFERROR(ROUND(SUMIFS(Grades!$K:$K,Grades!$A:$A,$A7,Grades!$C:$C,"Spring 2026")/SUMIFS(Grades!$G:$G,Grades!$A:$A,$A7,Grades!$C:$C,"Spring 2026"),2),"")</f>
        <v/>
      </c>
      <c r="H7" s="2">
        <f>IFERROR(ROUND(SUMIFS(Grades!$K:$K,Grades!$A:$A,$A7)/SUMIFS(Grades!$G:$G,Grades!$A:$A,$A7),2),"")</f>
        <v/>
      </c>
      <c r="I7" s="2">
        <f>SUMIFS(Grades!$G:$G,Grades!$A:$A,$A7)</f>
        <v/>
      </c>
      <c r="J7" s="2">
        <f>SUMIFS(Grades!$L:$L,Grades!$A:$A,$A7)</f>
        <v/>
      </c>
    </row>
    <row r="8">
      <c r="A8" s="2" t="inlineStr">
        <is>
          <t>m240107</t>
        </is>
      </c>
      <c r="B8" s="2">
        <f>VLOOKUP(A8,Students!$A:$B,2,FALSE)</f>
        <v/>
      </c>
      <c r="C8" s="2">
        <f>VLOOKUP(A8,Students!$A:$E,5,FALSE)</f>
        <v/>
      </c>
      <c r="D8" s="2">
        <f>IFERROR(ROUND(SUMIFS(Grades!$K:$K,Grades!$A:$A,$A8,Grades!$C:$C,"Fall 2024")/SUMIFS(Grades!$G:$G,Grades!$A:$A,$A8,Grades!$C:$C,"Fall 2024"),2),"")</f>
        <v/>
      </c>
      <c r="E8" s="2">
        <f>IFERROR(ROUND(SUMIFS(Grades!$K:$K,Grades!$A:$A,$A8,Grades!$C:$C,"Spring 2025")/SUMIFS(Grades!$G:$G,Grades!$A:$A,$A8,Grades!$C:$C,"Spring 2025"),2),"")</f>
        <v/>
      </c>
      <c r="F8" s="2">
        <f>IFERROR(ROUND(SUMIFS(Grades!$K:$K,Grades!$A:$A,$A8,Grades!$C:$C,"Fall 2025")/SUMIFS(Grades!$G:$G,Grades!$A:$A,$A8,Grades!$C:$C,"Fall 2025"),2),"")</f>
        <v/>
      </c>
      <c r="G8" s="2">
        <f>IFERROR(ROUND(SUMIFS(Grades!$K:$K,Grades!$A:$A,$A8,Grades!$C:$C,"Spring 2026")/SUMIFS(Grades!$G:$G,Grades!$A:$A,$A8,Grades!$C:$C,"Spring 2026"),2),"")</f>
        <v/>
      </c>
      <c r="H8" s="2">
        <f>IFERROR(ROUND(SUMIFS(Grades!$K:$K,Grades!$A:$A,$A8)/SUMIFS(Grades!$G:$G,Grades!$A:$A,$A8),2),"")</f>
        <v/>
      </c>
      <c r="I8" s="2">
        <f>SUMIFS(Grades!$G:$G,Grades!$A:$A,$A8)</f>
        <v/>
      </c>
      <c r="J8" s="2">
        <f>SUMIFS(Grades!$L:$L,Grades!$A:$A,$A8)</f>
        <v/>
      </c>
    </row>
    <row r="9">
      <c r="A9" s="2" t="inlineStr">
        <is>
          <t>m240108</t>
        </is>
      </c>
      <c r="B9" s="2">
        <f>VLOOKUP(A9,Students!$A:$B,2,FALSE)</f>
        <v/>
      </c>
      <c r="C9" s="2">
        <f>VLOOKUP(A9,Students!$A:$E,5,FALSE)</f>
        <v/>
      </c>
      <c r="D9" s="2">
        <f>IFERROR(ROUND(SUMIFS(Grades!$K:$K,Grades!$A:$A,$A9,Grades!$C:$C,"Fall 2024")/SUMIFS(Grades!$G:$G,Grades!$A:$A,$A9,Grades!$C:$C,"Fall 2024"),2),"")</f>
        <v/>
      </c>
      <c r="E9" s="2">
        <f>IFERROR(ROUND(SUMIFS(Grades!$K:$K,Grades!$A:$A,$A9,Grades!$C:$C,"Spring 2025")/SUMIFS(Grades!$G:$G,Grades!$A:$A,$A9,Grades!$C:$C,"Spring 2025"),2),"")</f>
        <v/>
      </c>
      <c r="F9" s="2">
        <f>IFERROR(ROUND(SUMIFS(Grades!$K:$K,Grades!$A:$A,$A9,Grades!$C:$C,"Fall 2025")/SUMIFS(Grades!$G:$G,Grades!$A:$A,$A9,Grades!$C:$C,"Fall 2025"),2),"")</f>
        <v/>
      </c>
      <c r="G9" s="2">
        <f>IFERROR(ROUND(SUMIFS(Grades!$K:$K,Grades!$A:$A,$A9,Grades!$C:$C,"Spring 2026")/SUMIFS(Grades!$G:$G,Grades!$A:$A,$A9,Grades!$C:$C,"Spring 2026"),2),"")</f>
        <v/>
      </c>
      <c r="H9" s="2">
        <f>IFERROR(ROUND(SUMIFS(Grades!$K:$K,Grades!$A:$A,$A9)/SUMIFS(Grades!$G:$G,Grades!$A:$A,$A9),2),"")</f>
        <v/>
      </c>
      <c r="I9" s="2">
        <f>SUMIFS(Grades!$G:$G,Grades!$A:$A,$A9)</f>
        <v/>
      </c>
      <c r="J9" s="2">
        <f>SUMIFS(Grades!$L:$L,Grades!$A:$A,$A9)</f>
        <v/>
      </c>
    </row>
    <row r="10">
      <c r="A10" s="2" t="inlineStr">
        <is>
          <t>m250201</t>
        </is>
      </c>
      <c r="B10" s="2">
        <f>VLOOKUP(A10,Students!$A:$B,2,FALSE)</f>
        <v/>
      </c>
      <c r="C10" s="2">
        <f>VLOOKUP(A10,Students!$A:$E,5,FALSE)</f>
        <v/>
      </c>
      <c r="D10" s="2">
        <f>IFERROR(ROUND(SUMIFS(Grades!$K:$K,Grades!$A:$A,$A10,Grades!$C:$C,"Fall 2024")/SUMIFS(Grades!$G:$G,Grades!$A:$A,$A10,Grades!$C:$C,"Fall 2024"),2),"")</f>
        <v/>
      </c>
      <c r="E10" s="2">
        <f>IFERROR(ROUND(SUMIFS(Grades!$K:$K,Grades!$A:$A,$A10,Grades!$C:$C,"Spring 2025")/SUMIFS(Grades!$G:$G,Grades!$A:$A,$A10,Grades!$C:$C,"Spring 2025"),2),"")</f>
        <v/>
      </c>
      <c r="F10" s="2">
        <f>IFERROR(ROUND(SUMIFS(Grades!$K:$K,Grades!$A:$A,$A10,Grades!$C:$C,"Fall 2025")/SUMIFS(Grades!$G:$G,Grades!$A:$A,$A10,Grades!$C:$C,"Fall 2025"),2),"")</f>
        <v/>
      </c>
      <c r="G10" s="2">
        <f>IFERROR(ROUND(SUMIFS(Grades!$K:$K,Grades!$A:$A,$A10,Grades!$C:$C,"Spring 2026")/SUMIFS(Grades!$G:$G,Grades!$A:$A,$A10,Grades!$C:$C,"Spring 2026"),2),"")</f>
        <v/>
      </c>
      <c r="H10" s="2">
        <f>IFERROR(ROUND(SUMIFS(Grades!$K:$K,Grades!$A:$A,$A10)/SUMIFS(Grades!$G:$G,Grades!$A:$A,$A10),2),"")</f>
        <v/>
      </c>
      <c r="I10" s="2">
        <f>SUMIFS(Grades!$G:$G,Grades!$A:$A,$A10)</f>
        <v/>
      </c>
      <c r="J10" s="2">
        <f>SUMIFS(Grades!$L:$L,Grades!$A:$A,$A10)</f>
        <v/>
      </c>
    </row>
    <row r="11">
      <c r="A11" s="2" t="inlineStr">
        <is>
          <t>m250202</t>
        </is>
      </c>
      <c r="B11" s="2">
        <f>VLOOKUP(A11,Students!$A:$B,2,FALSE)</f>
        <v/>
      </c>
      <c r="C11" s="2">
        <f>VLOOKUP(A11,Students!$A:$E,5,FALSE)</f>
        <v/>
      </c>
      <c r="D11" s="2">
        <f>IFERROR(ROUND(SUMIFS(Grades!$K:$K,Grades!$A:$A,$A11,Grades!$C:$C,"Fall 2024")/SUMIFS(Grades!$G:$G,Grades!$A:$A,$A11,Grades!$C:$C,"Fall 2024"),2),"")</f>
        <v/>
      </c>
      <c r="E11" s="2">
        <f>IFERROR(ROUND(SUMIFS(Grades!$K:$K,Grades!$A:$A,$A11,Grades!$C:$C,"Spring 2025")/SUMIFS(Grades!$G:$G,Grades!$A:$A,$A11,Grades!$C:$C,"Spring 2025"),2),"")</f>
        <v/>
      </c>
      <c r="F11" s="2">
        <f>IFERROR(ROUND(SUMIFS(Grades!$K:$K,Grades!$A:$A,$A11,Grades!$C:$C,"Fall 2025")/SUMIFS(Grades!$G:$G,Grades!$A:$A,$A11,Grades!$C:$C,"Fall 2025"),2),"")</f>
        <v/>
      </c>
      <c r="G11" s="2">
        <f>IFERROR(ROUND(SUMIFS(Grades!$K:$K,Grades!$A:$A,$A11,Grades!$C:$C,"Spring 2026")/SUMIFS(Grades!$G:$G,Grades!$A:$A,$A11,Grades!$C:$C,"Spring 2026"),2),"")</f>
        <v/>
      </c>
      <c r="H11" s="2">
        <f>IFERROR(ROUND(SUMIFS(Grades!$K:$K,Grades!$A:$A,$A11)/SUMIFS(Grades!$G:$G,Grades!$A:$A,$A11),2),"")</f>
        <v/>
      </c>
      <c r="I11" s="2">
        <f>SUMIFS(Grades!$G:$G,Grades!$A:$A,$A11)</f>
        <v/>
      </c>
      <c r="J11" s="2">
        <f>SUMIFS(Grades!$L:$L,Grades!$A:$A,$A11)</f>
        <v/>
      </c>
    </row>
    <row r="12">
      <c r="A12" s="2" t="inlineStr">
        <is>
          <t>m250203</t>
        </is>
      </c>
      <c r="B12" s="2">
        <f>VLOOKUP(A12,Students!$A:$B,2,FALSE)</f>
        <v/>
      </c>
      <c r="C12" s="2">
        <f>VLOOKUP(A12,Students!$A:$E,5,FALSE)</f>
        <v/>
      </c>
      <c r="D12" s="2">
        <f>IFERROR(ROUND(SUMIFS(Grades!$K:$K,Grades!$A:$A,$A12,Grades!$C:$C,"Fall 2024")/SUMIFS(Grades!$G:$G,Grades!$A:$A,$A12,Grades!$C:$C,"Fall 2024"),2),"")</f>
        <v/>
      </c>
      <c r="E12" s="2">
        <f>IFERROR(ROUND(SUMIFS(Grades!$K:$K,Grades!$A:$A,$A12,Grades!$C:$C,"Spring 2025")/SUMIFS(Grades!$G:$G,Grades!$A:$A,$A12,Grades!$C:$C,"Spring 2025"),2),"")</f>
        <v/>
      </c>
      <c r="F12" s="2">
        <f>IFERROR(ROUND(SUMIFS(Grades!$K:$K,Grades!$A:$A,$A12,Grades!$C:$C,"Fall 2025")/SUMIFS(Grades!$G:$G,Grades!$A:$A,$A12,Grades!$C:$C,"Fall 2025"),2),"")</f>
        <v/>
      </c>
      <c r="G12" s="2">
        <f>IFERROR(ROUND(SUMIFS(Grades!$K:$K,Grades!$A:$A,$A12,Grades!$C:$C,"Spring 2026")/SUMIFS(Grades!$G:$G,Grades!$A:$A,$A12,Grades!$C:$C,"Spring 2026"),2),"")</f>
        <v/>
      </c>
      <c r="H12" s="2">
        <f>IFERROR(ROUND(SUMIFS(Grades!$K:$K,Grades!$A:$A,$A12)/SUMIFS(Grades!$G:$G,Grades!$A:$A,$A12),2),"")</f>
        <v/>
      </c>
      <c r="I12" s="2">
        <f>SUMIFS(Grades!$G:$G,Grades!$A:$A,$A12)</f>
        <v/>
      </c>
      <c r="J12" s="2">
        <f>SUMIFS(Grades!$L:$L,Grades!$A:$A,$A12)</f>
        <v/>
      </c>
    </row>
    <row r="13">
      <c r="A13" s="2" t="inlineStr">
        <is>
          <t>m250204</t>
        </is>
      </c>
      <c r="B13" s="2">
        <f>VLOOKUP(A13,Students!$A:$B,2,FALSE)</f>
        <v/>
      </c>
      <c r="C13" s="2">
        <f>VLOOKUP(A13,Students!$A:$E,5,FALSE)</f>
        <v/>
      </c>
      <c r="D13" s="2">
        <f>IFERROR(ROUND(SUMIFS(Grades!$K:$K,Grades!$A:$A,$A13,Grades!$C:$C,"Fall 2024")/SUMIFS(Grades!$G:$G,Grades!$A:$A,$A13,Grades!$C:$C,"Fall 2024"),2),"")</f>
        <v/>
      </c>
      <c r="E13" s="2">
        <f>IFERROR(ROUND(SUMIFS(Grades!$K:$K,Grades!$A:$A,$A13,Grades!$C:$C,"Spring 2025")/SUMIFS(Grades!$G:$G,Grades!$A:$A,$A13,Grades!$C:$C,"Spring 2025"),2),"")</f>
        <v/>
      </c>
      <c r="F13" s="2">
        <f>IFERROR(ROUND(SUMIFS(Grades!$K:$K,Grades!$A:$A,$A13,Grades!$C:$C,"Fall 2025")/SUMIFS(Grades!$G:$G,Grades!$A:$A,$A13,Grades!$C:$C,"Fall 2025"),2),"")</f>
        <v/>
      </c>
      <c r="G13" s="2">
        <f>IFERROR(ROUND(SUMIFS(Grades!$K:$K,Grades!$A:$A,$A13,Grades!$C:$C,"Spring 2026")/SUMIFS(Grades!$G:$G,Grades!$A:$A,$A13,Grades!$C:$C,"Spring 2026"),2),"")</f>
        <v/>
      </c>
      <c r="H13" s="2">
        <f>IFERROR(ROUND(SUMIFS(Grades!$K:$K,Grades!$A:$A,$A13)/SUMIFS(Grades!$G:$G,Grades!$A:$A,$A13),2),"")</f>
        <v/>
      </c>
      <c r="I13" s="2">
        <f>SUMIFS(Grades!$G:$G,Grades!$A:$A,$A13)</f>
        <v/>
      </c>
      <c r="J13" s="2">
        <f>SUMIFS(Grades!$L:$L,Grades!$A:$A,$A13)</f>
        <v/>
      </c>
    </row>
    <row r="14">
      <c r="A14" s="2" t="inlineStr">
        <is>
          <t>m250205</t>
        </is>
      </c>
      <c r="B14" s="2">
        <f>VLOOKUP(A14,Students!$A:$B,2,FALSE)</f>
        <v/>
      </c>
      <c r="C14" s="2">
        <f>VLOOKUP(A14,Students!$A:$E,5,FALSE)</f>
        <v/>
      </c>
      <c r="D14" s="2">
        <f>IFERROR(ROUND(SUMIFS(Grades!$K:$K,Grades!$A:$A,$A14,Grades!$C:$C,"Fall 2024")/SUMIFS(Grades!$G:$G,Grades!$A:$A,$A14,Grades!$C:$C,"Fall 2024"),2),"")</f>
        <v/>
      </c>
      <c r="E14" s="2">
        <f>IFERROR(ROUND(SUMIFS(Grades!$K:$K,Grades!$A:$A,$A14,Grades!$C:$C,"Spring 2025")/SUMIFS(Grades!$G:$G,Grades!$A:$A,$A14,Grades!$C:$C,"Spring 2025"),2),"")</f>
        <v/>
      </c>
      <c r="F14" s="2">
        <f>IFERROR(ROUND(SUMIFS(Grades!$K:$K,Grades!$A:$A,$A14,Grades!$C:$C,"Fall 2025")/SUMIFS(Grades!$G:$G,Grades!$A:$A,$A14,Grades!$C:$C,"Fall 2025"),2),"")</f>
        <v/>
      </c>
      <c r="G14" s="2">
        <f>IFERROR(ROUND(SUMIFS(Grades!$K:$K,Grades!$A:$A,$A14,Grades!$C:$C,"Spring 2026")/SUMIFS(Grades!$G:$G,Grades!$A:$A,$A14,Grades!$C:$C,"Spring 2026"),2),"")</f>
        <v/>
      </c>
      <c r="H14" s="2">
        <f>IFERROR(ROUND(SUMIFS(Grades!$K:$K,Grades!$A:$A,$A14)/SUMIFS(Grades!$G:$G,Grades!$A:$A,$A14),2),"")</f>
        <v/>
      </c>
      <c r="I14" s="2">
        <f>SUMIFS(Grades!$G:$G,Grades!$A:$A,$A14)</f>
        <v/>
      </c>
      <c r="J14" s="2">
        <f>SUMIFS(Grades!$L:$L,Grades!$A:$A,$A14)</f>
        <v/>
      </c>
    </row>
    <row r="15">
      <c r="A15" s="2" t="inlineStr">
        <is>
          <t>m250206</t>
        </is>
      </c>
      <c r="B15" s="2">
        <f>VLOOKUP(A15,Students!$A:$B,2,FALSE)</f>
        <v/>
      </c>
      <c r="C15" s="2">
        <f>VLOOKUP(A15,Students!$A:$E,5,FALSE)</f>
        <v/>
      </c>
      <c r="D15" s="2">
        <f>IFERROR(ROUND(SUMIFS(Grades!$K:$K,Grades!$A:$A,$A15,Grades!$C:$C,"Fall 2024")/SUMIFS(Grades!$G:$G,Grades!$A:$A,$A15,Grades!$C:$C,"Fall 2024"),2),"")</f>
        <v/>
      </c>
      <c r="E15" s="2">
        <f>IFERROR(ROUND(SUMIFS(Grades!$K:$K,Grades!$A:$A,$A15,Grades!$C:$C,"Spring 2025")/SUMIFS(Grades!$G:$G,Grades!$A:$A,$A15,Grades!$C:$C,"Spring 2025"),2),"")</f>
        <v/>
      </c>
      <c r="F15" s="2">
        <f>IFERROR(ROUND(SUMIFS(Grades!$K:$K,Grades!$A:$A,$A15,Grades!$C:$C,"Fall 2025")/SUMIFS(Grades!$G:$G,Grades!$A:$A,$A15,Grades!$C:$C,"Fall 2025"),2),"")</f>
        <v/>
      </c>
      <c r="G15" s="2">
        <f>IFERROR(ROUND(SUMIFS(Grades!$K:$K,Grades!$A:$A,$A15,Grades!$C:$C,"Spring 2026")/SUMIFS(Grades!$G:$G,Grades!$A:$A,$A15,Grades!$C:$C,"Spring 2026"),2),"")</f>
        <v/>
      </c>
      <c r="H15" s="2">
        <f>IFERROR(ROUND(SUMIFS(Grades!$K:$K,Grades!$A:$A,$A15)/SUMIFS(Grades!$G:$G,Grades!$A:$A,$A15),2),"")</f>
        <v/>
      </c>
      <c r="I15" s="2">
        <f>SUMIFS(Grades!$G:$G,Grades!$A:$A,$A15)</f>
        <v/>
      </c>
      <c r="J15" s="2">
        <f>SUMIFS(Grades!$L:$L,Grades!$A:$A,$A15)</f>
        <v/>
      </c>
    </row>
    <row r="16">
      <c r="A16" s="2" t="inlineStr">
        <is>
          <t>m250207</t>
        </is>
      </c>
      <c r="B16" s="2">
        <f>VLOOKUP(A16,Students!$A:$B,2,FALSE)</f>
        <v/>
      </c>
      <c r="C16" s="2">
        <f>VLOOKUP(A16,Students!$A:$E,5,FALSE)</f>
        <v/>
      </c>
      <c r="D16" s="2">
        <f>IFERROR(ROUND(SUMIFS(Grades!$K:$K,Grades!$A:$A,$A16,Grades!$C:$C,"Fall 2024")/SUMIFS(Grades!$G:$G,Grades!$A:$A,$A16,Grades!$C:$C,"Fall 2024"),2),"")</f>
        <v/>
      </c>
      <c r="E16" s="2">
        <f>IFERROR(ROUND(SUMIFS(Grades!$K:$K,Grades!$A:$A,$A16,Grades!$C:$C,"Spring 2025")/SUMIFS(Grades!$G:$G,Grades!$A:$A,$A16,Grades!$C:$C,"Spring 2025"),2),"")</f>
        <v/>
      </c>
      <c r="F16" s="2">
        <f>IFERROR(ROUND(SUMIFS(Grades!$K:$K,Grades!$A:$A,$A16,Grades!$C:$C,"Fall 2025")/SUMIFS(Grades!$G:$G,Grades!$A:$A,$A16,Grades!$C:$C,"Fall 2025"),2),"")</f>
        <v/>
      </c>
      <c r="G16" s="2">
        <f>IFERROR(ROUND(SUMIFS(Grades!$K:$K,Grades!$A:$A,$A16,Grades!$C:$C,"Spring 2026")/SUMIFS(Grades!$G:$G,Grades!$A:$A,$A16,Grades!$C:$C,"Spring 2026"),2),"")</f>
        <v/>
      </c>
      <c r="H16" s="2">
        <f>IFERROR(ROUND(SUMIFS(Grades!$K:$K,Grades!$A:$A,$A16)/SUMIFS(Grades!$G:$G,Grades!$A:$A,$A16),2),"")</f>
        <v/>
      </c>
      <c r="I16" s="2">
        <f>SUMIFS(Grades!$G:$G,Grades!$A:$A,$A16)</f>
        <v/>
      </c>
      <c r="J16" s="2">
        <f>SUMIFS(Grades!$L:$L,Grades!$A:$A,$A16)</f>
        <v/>
      </c>
    </row>
    <row r="17">
      <c r="A17" s="2" t="inlineStr">
        <is>
          <t>m250208</t>
        </is>
      </c>
      <c r="B17" s="2">
        <f>VLOOKUP(A17,Students!$A:$B,2,FALSE)</f>
        <v/>
      </c>
      <c r="C17" s="2">
        <f>VLOOKUP(A17,Students!$A:$E,5,FALSE)</f>
        <v/>
      </c>
      <c r="D17" s="2">
        <f>IFERROR(ROUND(SUMIFS(Grades!$K:$K,Grades!$A:$A,$A17,Grades!$C:$C,"Fall 2024")/SUMIFS(Grades!$G:$G,Grades!$A:$A,$A17,Grades!$C:$C,"Fall 2024"),2),"")</f>
        <v/>
      </c>
      <c r="E17" s="2">
        <f>IFERROR(ROUND(SUMIFS(Grades!$K:$K,Grades!$A:$A,$A17,Grades!$C:$C,"Spring 2025")/SUMIFS(Grades!$G:$G,Grades!$A:$A,$A17,Grades!$C:$C,"Spring 2025"),2),"")</f>
        <v/>
      </c>
      <c r="F17" s="2">
        <f>IFERROR(ROUND(SUMIFS(Grades!$K:$K,Grades!$A:$A,$A17,Grades!$C:$C,"Fall 2025")/SUMIFS(Grades!$G:$G,Grades!$A:$A,$A17,Grades!$C:$C,"Fall 2025"),2),"")</f>
        <v/>
      </c>
      <c r="G17" s="2">
        <f>IFERROR(ROUND(SUMIFS(Grades!$K:$K,Grades!$A:$A,$A17,Grades!$C:$C,"Spring 2026")/SUMIFS(Grades!$G:$G,Grades!$A:$A,$A17,Grades!$C:$C,"Spring 2026"),2),"")</f>
        <v/>
      </c>
      <c r="H17" s="2">
        <f>IFERROR(ROUND(SUMIFS(Grades!$K:$K,Grades!$A:$A,$A17)/SUMIFS(Grades!$G:$G,Grades!$A:$A,$A17),2),"")</f>
        <v/>
      </c>
      <c r="I17" s="2">
        <f>SUMIFS(Grades!$G:$G,Grades!$A:$A,$A17)</f>
        <v/>
      </c>
      <c r="J17" s="2">
        <f>SUMIFS(Grades!$L:$L,Grades!$A:$A,$A17)</f>
        <v/>
      </c>
    </row>
    <row r="18">
      <c r="A18" s="2" t="inlineStr">
        <is>
          <t>m250209</t>
        </is>
      </c>
      <c r="B18" s="2">
        <f>VLOOKUP(A18,Students!$A:$B,2,FALSE)</f>
        <v/>
      </c>
      <c r="C18" s="2">
        <f>VLOOKUP(A18,Students!$A:$E,5,FALSE)</f>
        <v/>
      </c>
      <c r="D18" s="2">
        <f>IFERROR(ROUND(SUMIFS(Grades!$K:$K,Grades!$A:$A,$A18,Grades!$C:$C,"Fall 2024")/SUMIFS(Grades!$G:$G,Grades!$A:$A,$A18,Grades!$C:$C,"Fall 2024"),2),"")</f>
        <v/>
      </c>
      <c r="E18" s="2">
        <f>IFERROR(ROUND(SUMIFS(Grades!$K:$K,Grades!$A:$A,$A18,Grades!$C:$C,"Spring 2025")/SUMIFS(Grades!$G:$G,Grades!$A:$A,$A18,Grades!$C:$C,"Spring 2025"),2),"")</f>
        <v/>
      </c>
      <c r="F18" s="2">
        <f>IFERROR(ROUND(SUMIFS(Grades!$K:$K,Grades!$A:$A,$A18,Grades!$C:$C,"Fall 2025")/SUMIFS(Grades!$G:$G,Grades!$A:$A,$A18,Grades!$C:$C,"Fall 2025"),2),"")</f>
        <v/>
      </c>
      <c r="G18" s="2">
        <f>IFERROR(ROUND(SUMIFS(Grades!$K:$K,Grades!$A:$A,$A18,Grades!$C:$C,"Spring 2026")/SUMIFS(Grades!$G:$G,Grades!$A:$A,$A18,Grades!$C:$C,"Spring 2026"),2),"")</f>
        <v/>
      </c>
      <c r="H18" s="2">
        <f>IFERROR(ROUND(SUMIFS(Grades!$K:$K,Grades!$A:$A,$A18)/SUMIFS(Grades!$G:$G,Grades!$A:$A,$A18),2),"")</f>
        <v/>
      </c>
      <c r="I18" s="2">
        <f>SUMIFS(Grades!$G:$G,Grades!$A:$A,$A18)</f>
        <v/>
      </c>
      <c r="J18" s="2">
        <f>SUMIFS(Grades!$L:$L,Grades!$A:$A,$A18)</f>
        <v/>
      </c>
    </row>
    <row r="19">
      <c r="A19" s="2" t="inlineStr">
        <is>
          <t>m250210</t>
        </is>
      </c>
      <c r="B19" s="2">
        <f>VLOOKUP(A19,Students!$A:$B,2,FALSE)</f>
        <v/>
      </c>
      <c r="C19" s="2">
        <f>VLOOKUP(A19,Students!$A:$E,5,FALSE)</f>
        <v/>
      </c>
      <c r="D19" s="2">
        <f>IFERROR(ROUND(SUMIFS(Grades!$K:$K,Grades!$A:$A,$A19,Grades!$C:$C,"Fall 2024")/SUMIFS(Grades!$G:$G,Grades!$A:$A,$A19,Grades!$C:$C,"Fall 2024"),2),"")</f>
        <v/>
      </c>
      <c r="E19" s="2">
        <f>IFERROR(ROUND(SUMIFS(Grades!$K:$K,Grades!$A:$A,$A19,Grades!$C:$C,"Spring 2025")/SUMIFS(Grades!$G:$G,Grades!$A:$A,$A19,Grades!$C:$C,"Spring 2025"),2),"")</f>
        <v/>
      </c>
      <c r="F19" s="2">
        <f>IFERROR(ROUND(SUMIFS(Grades!$K:$K,Grades!$A:$A,$A19,Grades!$C:$C,"Fall 2025")/SUMIFS(Grades!$G:$G,Grades!$A:$A,$A19,Grades!$C:$C,"Fall 2025"),2),"")</f>
        <v/>
      </c>
      <c r="G19" s="2">
        <f>IFERROR(ROUND(SUMIFS(Grades!$K:$K,Grades!$A:$A,$A19,Grades!$C:$C,"Spring 2026")/SUMIFS(Grades!$G:$G,Grades!$A:$A,$A19,Grades!$C:$C,"Spring 2026"),2),"")</f>
        <v/>
      </c>
      <c r="H19" s="2">
        <f>IFERROR(ROUND(SUMIFS(Grades!$K:$K,Grades!$A:$A,$A19)/SUMIFS(Grades!$G:$G,Grades!$A:$A,$A19),2),"")</f>
        <v/>
      </c>
      <c r="I19" s="2">
        <f>SUMIFS(Grades!$G:$G,Grades!$A:$A,$A19)</f>
        <v/>
      </c>
      <c r="J19" s="2">
        <f>SUMIFS(Grades!$L:$L,Grades!$A:$A,$A19)</f>
        <v/>
      </c>
    </row>
    <row r="20">
      <c r="A20" s="2" t="inlineStr">
        <is>
          <t>m250301</t>
        </is>
      </c>
      <c r="B20" s="2">
        <f>VLOOKUP(A20,Students!$A:$B,2,FALSE)</f>
        <v/>
      </c>
      <c r="C20" s="2">
        <f>VLOOKUP(A20,Students!$A:$E,5,FALSE)</f>
        <v/>
      </c>
      <c r="D20" s="2">
        <f>IFERROR(ROUND(SUMIFS(Grades!$K:$K,Grades!$A:$A,$A20,Grades!$C:$C,"Fall 2024")/SUMIFS(Grades!$G:$G,Grades!$A:$A,$A20,Grades!$C:$C,"Fall 2024"),2),"")</f>
        <v/>
      </c>
      <c r="E20" s="2">
        <f>IFERROR(ROUND(SUMIFS(Grades!$K:$K,Grades!$A:$A,$A20,Grades!$C:$C,"Spring 2025")/SUMIFS(Grades!$G:$G,Grades!$A:$A,$A20,Grades!$C:$C,"Spring 2025"),2),"")</f>
        <v/>
      </c>
      <c r="F20" s="2">
        <f>IFERROR(ROUND(SUMIFS(Grades!$K:$K,Grades!$A:$A,$A20,Grades!$C:$C,"Fall 2025")/SUMIFS(Grades!$G:$G,Grades!$A:$A,$A20,Grades!$C:$C,"Fall 2025"),2),"")</f>
        <v/>
      </c>
      <c r="G20" s="2">
        <f>IFERROR(ROUND(SUMIFS(Grades!$K:$K,Grades!$A:$A,$A20,Grades!$C:$C,"Spring 2026")/SUMIFS(Grades!$G:$G,Grades!$A:$A,$A20,Grades!$C:$C,"Spring 2026"),2),"")</f>
        <v/>
      </c>
      <c r="H20" s="2">
        <f>IFERROR(ROUND(SUMIFS(Grades!$K:$K,Grades!$A:$A,$A20)/SUMIFS(Grades!$G:$G,Grades!$A:$A,$A20),2),"")</f>
        <v/>
      </c>
      <c r="I20" s="2">
        <f>SUMIFS(Grades!$G:$G,Grades!$A:$A,$A20)</f>
        <v/>
      </c>
      <c r="J20" s="2">
        <f>SUMIFS(Grades!$L:$L,Grades!$A:$A,$A20)</f>
        <v/>
      </c>
    </row>
    <row r="21">
      <c r="A21" s="2" t="inlineStr">
        <is>
          <t>m250302</t>
        </is>
      </c>
      <c r="B21" s="2">
        <f>VLOOKUP(A21,Students!$A:$B,2,FALSE)</f>
        <v/>
      </c>
      <c r="C21" s="2">
        <f>VLOOKUP(A21,Students!$A:$E,5,FALSE)</f>
        <v/>
      </c>
      <c r="D21" s="2">
        <f>IFERROR(ROUND(SUMIFS(Grades!$K:$K,Grades!$A:$A,$A21,Grades!$C:$C,"Fall 2024")/SUMIFS(Grades!$G:$G,Grades!$A:$A,$A21,Grades!$C:$C,"Fall 2024"),2),"")</f>
        <v/>
      </c>
      <c r="E21" s="2">
        <f>IFERROR(ROUND(SUMIFS(Grades!$K:$K,Grades!$A:$A,$A21,Grades!$C:$C,"Spring 2025")/SUMIFS(Grades!$G:$G,Grades!$A:$A,$A21,Grades!$C:$C,"Spring 2025"),2),"")</f>
        <v/>
      </c>
      <c r="F21" s="2">
        <f>IFERROR(ROUND(SUMIFS(Grades!$K:$K,Grades!$A:$A,$A21,Grades!$C:$C,"Fall 2025")/SUMIFS(Grades!$G:$G,Grades!$A:$A,$A21,Grades!$C:$C,"Fall 2025"),2),"")</f>
        <v/>
      </c>
      <c r="G21" s="2">
        <f>IFERROR(ROUND(SUMIFS(Grades!$K:$K,Grades!$A:$A,$A21,Grades!$C:$C,"Spring 2026")/SUMIFS(Grades!$G:$G,Grades!$A:$A,$A21,Grades!$C:$C,"Spring 2026"),2),"")</f>
        <v/>
      </c>
      <c r="H21" s="2">
        <f>IFERROR(ROUND(SUMIFS(Grades!$K:$K,Grades!$A:$A,$A21)/SUMIFS(Grades!$G:$G,Grades!$A:$A,$A21),2),"")</f>
        <v/>
      </c>
      <c r="I21" s="2">
        <f>SUMIFS(Grades!$G:$G,Grades!$A:$A,$A21)</f>
        <v/>
      </c>
      <c r="J21" s="2">
        <f>SUMIFS(Grades!$L:$L,Grades!$A:$A,$A21)</f>
        <v/>
      </c>
    </row>
    <row r="22">
      <c r="A22" s="2" t="inlineStr">
        <is>
          <t>m250303</t>
        </is>
      </c>
      <c r="B22" s="2">
        <f>VLOOKUP(A22,Students!$A:$B,2,FALSE)</f>
        <v/>
      </c>
      <c r="C22" s="2">
        <f>VLOOKUP(A22,Students!$A:$E,5,FALSE)</f>
        <v/>
      </c>
      <c r="D22" s="2">
        <f>IFERROR(ROUND(SUMIFS(Grades!$K:$K,Grades!$A:$A,$A22,Grades!$C:$C,"Fall 2024")/SUMIFS(Grades!$G:$G,Grades!$A:$A,$A22,Grades!$C:$C,"Fall 2024"),2),"")</f>
        <v/>
      </c>
      <c r="E22" s="2">
        <f>IFERROR(ROUND(SUMIFS(Grades!$K:$K,Grades!$A:$A,$A22,Grades!$C:$C,"Spring 2025")/SUMIFS(Grades!$G:$G,Grades!$A:$A,$A22,Grades!$C:$C,"Spring 2025"),2),"")</f>
        <v/>
      </c>
      <c r="F22" s="2">
        <f>IFERROR(ROUND(SUMIFS(Grades!$K:$K,Grades!$A:$A,$A22,Grades!$C:$C,"Fall 2025")/SUMIFS(Grades!$G:$G,Grades!$A:$A,$A22,Grades!$C:$C,"Fall 2025"),2),"")</f>
        <v/>
      </c>
      <c r="G22" s="2">
        <f>IFERROR(ROUND(SUMIFS(Grades!$K:$K,Grades!$A:$A,$A22,Grades!$C:$C,"Spring 2026")/SUMIFS(Grades!$G:$G,Grades!$A:$A,$A22,Grades!$C:$C,"Spring 2026"),2),"")</f>
        <v/>
      </c>
      <c r="H22" s="2">
        <f>IFERROR(ROUND(SUMIFS(Grades!$K:$K,Grades!$A:$A,$A22)/SUMIFS(Grades!$G:$G,Grades!$A:$A,$A22),2),"")</f>
        <v/>
      </c>
      <c r="I22" s="2">
        <f>SUMIFS(Grades!$G:$G,Grades!$A:$A,$A22)</f>
        <v/>
      </c>
      <c r="J22" s="2">
        <f>SUMIFS(Grades!$L:$L,Grades!$A:$A,$A22)</f>
        <v/>
      </c>
    </row>
    <row r="23">
      <c r="A23" s="2" t="inlineStr">
        <is>
          <t>m250304</t>
        </is>
      </c>
      <c r="B23" s="2">
        <f>VLOOKUP(A23,Students!$A:$B,2,FALSE)</f>
        <v/>
      </c>
      <c r="C23" s="2">
        <f>VLOOKUP(A23,Students!$A:$E,5,FALSE)</f>
        <v/>
      </c>
      <c r="D23" s="2">
        <f>IFERROR(ROUND(SUMIFS(Grades!$K:$K,Grades!$A:$A,$A23,Grades!$C:$C,"Fall 2024")/SUMIFS(Grades!$G:$G,Grades!$A:$A,$A23,Grades!$C:$C,"Fall 2024"),2),"")</f>
        <v/>
      </c>
      <c r="E23" s="2">
        <f>IFERROR(ROUND(SUMIFS(Grades!$K:$K,Grades!$A:$A,$A23,Grades!$C:$C,"Spring 2025")/SUMIFS(Grades!$G:$G,Grades!$A:$A,$A23,Grades!$C:$C,"Spring 2025"),2),"")</f>
        <v/>
      </c>
      <c r="F23" s="2">
        <f>IFERROR(ROUND(SUMIFS(Grades!$K:$K,Grades!$A:$A,$A23,Grades!$C:$C,"Fall 2025")/SUMIFS(Grades!$G:$G,Grades!$A:$A,$A23,Grades!$C:$C,"Fall 2025"),2),"")</f>
        <v/>
      </c>
      <c r="G23" s="2">
        <f>IFERROR(ROUND(SUMIFS(Grades!$K:$K,Grades!$A:$A,$A23,Grades!$C:$C,"Spring 2026")/SUMIFS(Grades!$G:$G,Grades!$A:$A,$A23,Grades!$C:$C,"Spring 2026"),2),"")</f>
        <v/>
      </c>
      <c r="H23" s="2">
        <f>IFERROR(ROUND(SUMIFS(Grades!$K:$K,Grades!$A:$A,$A23)/SUMIFS(Grades!$G:$G,Grades!$A:$A,$A23),2),"")</f>
        <v/>
      </c>
      <c r="I23" s="2">
        <f>SUMIFS(Grades!$G:$G,Grades!$A:$A,$A23)</f>
        <v/>
      </c>
      <c r="J23" s="2">
        <f>SUMIFS(Grades!$L:$L,Grades!$A:$A,$A23)</f>
        <v/>
      </c>
    </row>
    <row r="24">
      <c r="A24" s="2" t="inlineStr">
        <is>
          <t>m250305</t>
        </is>
      </c>
      <c r="B24" s="2">
        <f>VLOOKUP(A24,Students!$A:$B,2,FALSE)</f>
        <v/>
      </c>
      <c r="C24" s="2">
        <f>VLOOKUP(A24,Students!$A:$E,5,FALSE)</f>
        <v/>
      </c>
      <c r="D24" s="2">
        <f>IFERROR(ROUND(SUMIFS(Grades!$K:$K,Grades!$A:$A,$A24,Grades!$C:$C,"Fall 2024")/SUMIFS(Grades!$G:$G,Grades!$A:$A,$A24,Grades!$C:$C,"Fall 2024"),2),"")</f>
        <v/>
      </c>
      <c r="E24" s="2">
        <f>IFERROR(ROUND(SUMIFS(Grades!$K:$K,Grades!$A:$A,$A24,Grades!$C:$C,"Spring 2025")/SUMIFS(Grades!$G:$G,Grades!$A:$A,$A24,Grades!$C:$C,"Spring 2025"),2),"")</f>
        <v/>
      </c>
      <c r="F24" s="2">
        <f>IFERROR(ROUND(SUMIFS(Grades!$K:$K,Grades!$A:$A,$A24,Grades!$C:$C,"Fall 2025")/SUMIFS(Grades!$G:$G,Grades!$A:$A,$A24,Grades!$C:$C,"Fall 2025"),2),"")</f>
        <v/>
      </c>
      <c r="G24" s="2">
        <f>IFERROR(ROUND(SUMIFS(Grades!$K:$K,Grades!$A:$A,$A24,Grades!$C:$C,"Spring 2026")/SUMIFS(Grades!$G:$G,Grades!$A:$A,$A24,Grades!$C:$C,"Spring 2026"),2),"")</f>
        <v/>
      </c>
      <c r="H24" s="2">
        <f>IFERROR(ROUND(SUMIFS(Grades!$K:$K,Grades!$A:$A,$A24)/SUMIFS(Grades!$G:$G,Grades!$A:$A,$A24),2),"")</f>
        <v/>
      </c>
      <c r="I24" s="2">
        <f>SUMIFS(Grades!$G:$G,Grades!$A:$A,$A24)</f>
        <v/>
      </c>
      <c r="J24" s="2">
        <f>SUMIFS(Grades!$L:$L,Grades!$A:$A,$A24)</f>
        <v/>
      </c>
    </row>
    <row r="25">
      <c r="A25" s="2" t="inlineStr">
        <is>
          <t>m250306</t>
        </is>
      </c>
      <c r="B25" s="2">
        <f>VLOOKUP(A25,Students!$A:$B,2,FALSE)</f>
        <v/>
      </c>
      <c r="C25" s="2">
        <f>VLOOKUP(A25,Students!$A:$E,5,FALSE)</f>
        <v/>
      </c>
      <c r="D25" s="2">
        <f>IFERROR(ROUND(SUMIFS(Grades!$K:$K,Grades!$A:$A,$A25,Grades!$C:$C,"Fall 2024")/SUMIFS(Grades!$G:$G,Grades!$A:$A,$A25,Grades!$C:$C,"Fall 2024"),2),"")</f>
        <v/>
      </c>
      <c r="E25" s="2">
        <f>IFERROR(ROUND(SUMIFS(Grades!$K:$K,Grades!$A:$A,$A25,Grades!$C:$C,"Spring 2025")/SUMIFS(Grades!$G:$G,Grades!$A:$A,$A25,Grades!$C:$C,"Spring 2025"),2),"")</f>
        <v/>
      </c>
      <c r="F25" s="2">
        <f>IFERROR(ROUND(SUMIFS(Grades!$K:$K,Grades!$A:$A,$A25,Grades!$C:$C,"Fall 2025")/SUMIFS(Grades!$G:$G,Grades!$A:$A,$A25,Grades!$C:$C,"Fall 2025"),2),"")</f>
        <v/>
      </c>
      <c r="G25" s="2">
        <f>IFERROR(ROUND(SUMIFS(Grades!$K:$K,Grades!$A:$A,$A25,Grades!$C:$C,"Spring 2026")/SUMIFS(Grades!$G:$G,Grades!$A:$A,$A25,Grades!$C:$C,"Spring 2026"),2),"")</f>
        <v/>
      </c>
      <c r="H25" s="2">
        <f>IFERROR(ROUND(SUMIFS(Grades!$K:$K,Grades!$A:$A,$A25)/SUMIFS(Grades!$G:$G,Grades!$A:$A,$A25),2),"")</f>
        <v/>
      </c>
      <c r="I25" s="2">
        <f>SUMIFS(Grades!$G:$G,Grades!$A:$A,$A25)</f>
        <v/>
      </c>
      <c r="J25" s="2">
        <f>SUMIFS(Grades!$L:$L,Grades!$A:$A,$A25)</f>
        <v/>
      </c>
    </row>
    <row r="26">
      <c r="A26" s="2" t="inlineStr">
        <is>
          <t>m240109</t>
        </is>
      </c>
      <c r="B26" s="2">
        <f>VLOOKUP(A26,Students!$A:$B,2,FALSE)</f>
        <v/>
      </c>
      <c r="C26" s="2">
        <f>VLOOKUP(A26,Students!$A:$E,5,FALSE)</f>
        <v/>
      </c>
      <c r="D26" s="2">
        <f>IFERROR(ROUND(SUMIFS(Grades!$K:$K,Grades!$A:$A,$A26,Grades!$C:$C,"Fall 2024")/SUMIFS(Grades!$G:$G,Grades!$A:$A,$A26,Grades!$C:$C,"Fall 2024"),2),"")</f>
        <v/>
      </c>
      <c r="E26" s="2">
        <f>IFERROR(ROUND(SUMIFS(Grades!$K:$K,Grades!$A:$A,$A26,Grades!$C:$C,"Spring 2025")/SUMIFS(Grades!$G:$G,Grades!$A:$A,$A26,Grades!$C:$C,"Spring 2025"),2),"")</f>
        <v/>
      </c>
      <c r="F26" s="2">
        <f>IFERROR(ROUND(SUMIFS(Grades!$K:$K,Grades!$A:$A,$A26,Grades!$C:$C,"Fall 2025")/SUMIFS(Grades!$G:$G,Grades!$A:$A,$A26,Grades!$C:$C,"Fall 2025"),2),"")</f>
        <v/>
      </c>
      <c r="G26" s="2">
        <f>IFERROR(ROUND(SUMIFS(Grades!$K:$K,Grades!$A:$A,$A26,Grades!$C:$C,"Spring 2026")/SUMIFS(Grades!$G:$G,Grades!$A:$A,$A26,Grades!$C:$C,"Spring 2026"),2),"")</f>
        <v/>
      </c>
      <c r="H26" s="2">
        <f>IFERROR(ROUND(SUMIFS(Grades!$K:$K,Grades!$A:$A,$A26)/SUMIFS(Grades!$G:$G,Grades!$A:$A,$A26),2),"")</f>
        <v/>
      </c>
      <c r="I26" s="2">
        <f>SUMIFS(Grades!$G:$G,Grades!$A:$A,$A26)</f>
        <v/>
      </c>
      <c r="J26" s="2">
        <f>SUMIFS(Grades!$L:$L,Grades!$A:$A,$A26)</f>
        <v/>
      </c>
    </row>
    <row r="27">
      <c r="A27" s="2" t="inlineStr">
        <is>
          <t>m250211</t>
        </is>
      </c>
      <c r="B27" s="2">
        <f>VLOOKUP(A27,Students!$A:$B,2,FALSE)</f>
        <v/>
      </c>
      <c r="C27" s="2">
        <f>VLOOKUP(A27,Students!$A:$E,5,FALSE)</f>
        <v/>
      </c>
      <c r="D27" s="2">
        <f>IFERROR(ROUND(SUMIFS(Grades!$K:$K,Grades!$A:$A,$A27,Grades!$C:$C,"Fall 2024")/SUMIFS(Grades!$G:$G,Grades!$A:$A,$A27,Grades!$C:$C,"Fall 2024"),2),"")</f>
        <v/>
      </c>
      <c r="E27" s="2">
        <f>IFERROR(ROUND(SUMIFS(Grades!$K:$K,Grades!$A:$A,$A27,Grades!$C:$C,"Spring 2025")/SUMIFS(Grades!$G:$G,Grades!$A:$A,$A27,Grades!$C:$C,"Spring 2025"),2),"")</f>
        <v/>
      </c>
      <c r="F27" s="2">
        <f>IFERROR(ROUND(SUMIFS(Grades!$K:$K,Grades!$A:$A,$A27,Grades!$C:$C,"Fall 2025")/SUMIFS(Grades!$G:$G,Grades!$A:$A,$A27,Grades!$C:$C,"Fall 2025"),2),"")</f>
        <v/>
      </c>
      <c r="G27" s="2">
        <f>IFERROR(ROUND(SUMIFS(Grades!$K:$K,Grades!$A:$A,$A27,Grades!$C:$C,"Spring 2026")/SUMIFS(Grades!$G:$G,Grades!$A:$A,$A27,Grades!$C:$C,"Spring 2026"),2),"")</f>
        <v/>
      </c>
      <c r="H27" s="2">
        <f>IFERROR(ROUND(SUMIFS(Grades!$K:$K,Grades!$A:$A,$A27)/SUMIFS(Grades!$G:$G,Grades!$A:$A,$A27),2),"")</f>
        <v/>
      </c>
      <c r="I27" s="2">
        <f>SUMIFS(Grades!$G:$G,Grades!$A:$A,$A27)</f>
        <v/>
      </c>
      <c r="J27" s="2">
        <f>SUMIFS(Grades!$L:$L,Grades!$A:$A,$A27)</f>
        <v/>
      </c>
    </row>
    <row r="28">
      <c r="A28" s="2" t="inlineStr">
        <is>
          <t>m250307</t>
        </is>
      </c>
      <c r="B28" s="2">
        <f>VLOOKUP(A28,Students!$A:$B,2,FALSE)</f>
        <v/>
      </c>
      <c r="C28" s="2">
        <f>VLOOKUP(A28,Students!$A:$E,5,FALSE)</f>
        <v/>
      </c>
      <c r="D28" s="2">
        <f>IFERROR(ROUND(SUMIFS(Grades!$K:$K,Grades!$A:$A,$A28,Grades!$C:$C,"Fall 2024")/SUMIFS(Grades!$G:$G,Grades!$A:$A,$A28,Grades!$C:$C,"Fall 2024"),2),"")</f>
        <v/>
      </c>
      <c r="E28" s="2">
        <f>IFERROR(ROUND(SUMIFS(Grades!$K:$K,Grades!$A:$A,$A28,Grades!$C:$C,"Spring 2025")/SUMIFS(Grades!$G:$G,Grades!$A:$A,$A28,Grades!$C:$C,"Spring 2025"),2),"")</f>
        <v/>
      </c>
      <c r="F28" s="2">
        <f>IFERROR(ROUND(SUMIFS(Grades!$K:$K,Grades!$A:$A,$A28,Grades!$C:$C,"Fall 2025")/SUMIFS(Grades!$G:$G,Grades!$A:$A,$A28,Grades!$C:$C,"Fall 2025"),2),"")</f>
        <v/>
      </c>
      <c r="G28" s="2">
        <f>IFERROR(ROUND(SUMIFS(Grades!$K:$K,Grades!$A:$A,$A28,Grades!$C:$C,"Spring 2026")/SUMIFS(Grades!$G:$G,Grades!$A:$A,$A28,Grades!$C:$C,"Spring 2026"),2),"")</f>
        <v/>
      </c>
      <c r="H28" s="2">
        <f>IFERROR(ROUND(SUMIFS(Grades!$K:$K,Grades!$A:$A,$A28)/SUMIFS(Grades!$G:$G,Grades!$A:$A,$A28),2),"")</f>
        <v/>
      </c>
      <c r="I28" s="2">
        <f>SUMIFS(Grades!$G:$G,Grades!$A:$A,$A28)</f>
        <v/>
      </c>
      <c r="J28" s="2">
        <f>SUMIFS(Grades!$L:$L,Grades!$A:$A,$A28)</f>
        <v/>
      </c>
    </row>
    <row r="29">
      <c r="A29" s="2" t="inlineStr">
        <is>
          <t>m240110</t>
        </is>
      </c>
      <c r="B29" s="2">
        <f>VLOOKUP(A29,Students!$A:$B,2,FALSE)</f>
        <v/>
      </c>
      <c r="C29" s="2">
        <f>VLOOKUP(A29,Students!$A:$E,5,FALSE)</f>
        <v/>
      </c>
      <c r="D29" s="2">
        <f>IFERROR(ROUND(SUMIFS(Grades!$K:$K,Grades!$A:$A,$A29,Grades!$C:$C,"Fall 2024")/SUMIFS(Grades!$G:$G,Grades!$A:$A,$A29,Grades!$C:$C,"Fall 2024"),2),"")</f>
        <v/>
      </c>
      <c r="E29" s="2">
        <f>IFERROR(ROUND(SUMIFS(Grades!$K:$K,Grades!$A:$A,$A29,Grades!$C:$C,"Spring 2025")/SUMIFS(Grades!$G:$G,Grades!$A:$A,$A29,Grades!$C:$C,"Spring 2025"),2),"")</f>
        <v/>
      </c>
      <c r="F29" s="2">
        <f>IFERROR(ROUND(SUMIFS(Grades!$K:$K,Grades!$A:$A,$A29,Grades!$C:$C,"Fall 2025")/SUMIFS(Grades!$G:$G,Grades!$A:$A,$A29,Grades!$C:$C,"Fall 2025"),2),"")</f>
        <v/>
      </c>
      <c r="G29" s="2">
        <f>IFERROR(ROUND(SUMIFS(Grades!$K:$K,Grades!$A:$A,$A29,Grades!$C:$C,"Spring 2026")/SUMIFS(Grades!$G:$G,Grades!$A:$A,$A29,Grades!$C:$C,"Spring 2026"),2),"")</f>
        <v/>
      </c>
      <c r="H29" s="2">
        <f>IFERROR(ROUND(SUMIFS(Grades!$K:$K,Grades!$A:$A,$A29)/SUMIFS(Grades!$G:$G,Grades!$A:$A,$A29),2),"")</f>
        <v/>
      </c>
      <c r="I29" s="2">
        <f>SUMIFS(Grades!$G:$G,Grades!$A:$A,$A29)</f>
        <v/>
      </c>
      <c r="J29" s="2">
        <f>SUMIFS(Grades!$L:$L,Grades!$A:$A,$A29)</f>
        <v/>
      </c>
    </row>
    <row r="30">
      <c r="A30" s="2" t="inlineStr">
        <is>
          <t>m250212</t>
        </is>
      </c>
      <c r="B30" s="2">
        <f>VLOOKUP(A30,Students!$A:$B,2,FALSE)</f>
        <v/>
      </c>
      <c r="C30" s="2">
        <f>VLOOKUP(A30,Students!$A:$E,5,FALSE)</f>
        <v/>
      </c>
      <c r="D30" s="2">
        <f>IFERROR(ROUND(SUMIFS(Grades!$K:$K,Grades!$A:$A,$A30,Grades!$C:$C,"Fall 2024")/SUMIFS(Grades!$G:$G,Grades!$A:$A,$A30,Grades!$C:$C,"Fall 2024"),2),"")</f>
        <v/>
      </c>
      <c r="E30" s="2">
        <f>IFERROR(ROUND(SUMIFS(Grades!$K:$K,Grades!$A:$A,$A30,Grades!$C:$C,"Spring 2025")/SUMIFS(Grades!$G:$G,Grades!$A:$A,$A30,Grades!$C:$C,"Spring 2025"),2),"")</f>
        <v/>
      </c>
      <c r="F30" s="2">
        <f>IFERROR(ROUND(SUMIFS(Grades!$K:$K,Grades!$A:$A,$A30,Grades!$C:$C,"Fall 2025")/SUMIFS(Grades!$G:$G,Grades!$A:$A,$A30,Grades!$C:$C,"Fall 2025"),2),"")</f>
        <v/>
      </c>
      <c r="G30" s="2">
        <f>IFERROR(ROUND(SUMIFS(Grades!$K:$K,Grades!$A:$A,$A30,Grades!$C:$C,"Spring 2026")/SUMIFS(Grades!$G:$G,Grades!$A:$A,$A30,Grades!$C:$C,"Spring 2026"),2),"")</f>
        <v/>
      </c>
      <c r="H30" s="2">
        <f>IFERROR(ROUND(SUMIFS(Grades!$K:$K,Grades!$A:$A,$A30)/SUMIFS(Grades!$G:$G,Grades!$A:$A,$A30),2),"")</f>
        <v/>
      </c>
      <c r="I30" s="2">
        <f>SUMIFS(Grades!$G:$G,Grades!$A:$A,$A30)</f>
        <v/>
      </c>
      <c r="J30" s="2">
        <f>SUMIFS(Grades!$L:$L,Grades!$A:$A,$A30)</f>
        <v/>
      </c>
    </row>
    <row r="31">
      <c r="A31" s="2" t="inlineStr">
        <is>
          <t>m250308</t>
        </is>
      </c>
      <c r="B31" s="2">
        <f>VLOOKUP(A31,Students!$A:$B,2,FALSE)</f>
        <v/>
      </c>
      <c r="C31" s="2">
        <f>VLOOKUP(A31,Students!$A:$E,5,FALSE)</f>
        <v/>
      </c>
      <c r="D31" s="2">
        <f>IFERROR(ROUND(SUMIFS(Grades!$K:$K,Grades!$A:$A,$A31,Grades!$C:$C,"Fall 2024")/SUMIFS(Grades!$G:$G,Grades!$A:$A,$A31,Grades!$C:$C,"Fall 2024"),2),"")</f>
        <v/>
      </c>
      <c r="E31" s="2">
        <f>IFERROR(ROUND(SUMIFS(Grades!$K:$K,Grades!$A:$A,$A31,Grades!$C:$C,"Spring 2025")/SUMIFS(Grades!$G:$G,Grades!$A:$A,$A31,Grades!$C:$C,"Spring 2025"),2),"")</f>
        <v/>
      </c>
      <c r="F31" s="2">
        <f>IFERROR(ROUND(SUMIFS(Grades!$K:$K,Grades!$A:$A,$A31,Grades!$C:$C,"Fall 2025")/SUMIFS(Grades!$G:$G,Grades!$A:$A,$A31,Grades!$C:$C,"Fall 2025"),2),"")</f>
        <v/>
      </c>
      <c r="G31" s="2">
        <f>IFERROR(ROUND(SUMIFS(Grades!$K:$K,Grades!$A:$A,$A31,Grades!$C:$C,"Spring 2026")/SUMIFS(Grades!$G:$G,Grades!$A:$A,$A31,Grades!$C:$C,"Spring 2026"),2),"")</f>
        <v/>
      </c>
      <c r="H31" s="2">
        <f>IFERROR(ROUND(SUMIFS(Grades!$K:$K,Grades!$A:$A,$A31)/SUMIFS(Grades!$G:$G,Grades!$A:$A,$A31),2),"")</f>
        <v/>
      </c>
      <c r="I31" s="2">
        <f>SUMIFS(Grades!$G:$G,Grades!$A:$A,$A31)</f>
        <v/>
      </c>
      <c r="J31" s="2">
        <f>SUMIFS(Grades!$L:$L,Grades!$A:$A,$A31)</f>
        <v/>
      </c>
    </row>
    <row r="32">
      <c r="A32" s="2" t="inlineStr">
        <is>
          <t>m240111</t>
        </is>
      </c>
      <c r="B32" s="2">
        <f>VLOOKUP(A32,Students!$A:$B,2,FALSE)</f>
        <v/>
      </c>
      <c r="C32" s="2">
        <f>VLOOKUP(A32,Students!$A:$E,5,FALSE)</f>
        <v/>
      </c>
      <c r="D32" s="2">
        <f>IFERROR(ROUND(SUMIFS(Grades!$K:$K,Grades!$A:$A,$A32,Grades!$C:$C,"Fall 2024")/SUMIFS(Grades!$G:$G,Grades!$A:$A,$A32,Grades!$C:$C,"Fall 2024"),2),"")</f>
        <v/>
      </c>
      <c r="E32" s="2">
        <f>IFERROR(ROUND(SUMIFS(Grades!$K:$K,Grades!$A:$A,$A32,Grades!$C:$C,"Spring 2025")/SUMIFS(Grades!$G:$G,Grades!$A:$A,$A32,Grades!$C:$C,"Spring 2025"),2),"")</f>
        <v/>
      </c>
      <c r="F32" s="2">
        <f>IFERROR(ROUND(SUMIFS(Grades!$K:$K,Grades!$A:$A,$A32,Grades!$C:$C,"Fall 2025")/SUMIFS(Grades!$G:$G,Grades!$A:$A,$A32,Grades!$C:$C,"Fall 2025"),2),"")</f>
        <v/>
      </c>
      <c r="G32" s="2">
        <f>IFERROR(ROUND(SUMIFS(Grades!$K:$K,Grades!$A:$A,$A32,Grades!$C:$C,"Spring 2026")/SUMIFS(Grades!$G:$G,Grades!$A:$A,$A32,Grades!$C:$C,"Spring 2026"),2),"")</f>
        <v/>
      </c>
      <c r="H32" s="2">
        <f>IFERROR(ROUND(SUMIFS(Grades!$K:$K,Grades!$A:$A,$A32)/SUMIFS(Grades!$G:$G,Grades!$A:$A,$A32),2),"")</f>
        <v/>
      </c>
      <c r="I32" s="2">
        <f>SUMIFS(Grades!$G:$G,Grades!$A:$A,$A32)</f>
        <v/>
      </c>
      <c r="J32" s="2">
        <f>SUMIFS(Grades!$L:$L,Grades!$A:$A,$A32)</f>
        <v/>
      </c>
    </row>
    <row r="33">
      <c r="A33" s="2" t="inlineStr">
        <is>
          <t>m250213</t>
        </is>
      </c>
      <c r="B33" s="2">
        <f>VLOOKUP(A33,Students!$A:$B,2,FALSE)</f>
        <v/>
      </c>
      <c r="C33" s="2">
        <f>VLOOKUP(A33,Students!$A:$E,5,FALSE)</f>
        <v/>
      </c>
      <c r="D33" s="2">
        <f>IFERROR(ROUND(SUMIFS(Grades!$K:$K,Grades!$A:$A,$A33,Grades!$C:$C,"Fall 2024")/SUMIFS(Grades!$G:$G,Grades!$A:$A,$A33,Grades!$C:$C,"Fall 2024"),2),"")</f>
        <v/>
      </c>
      <c r="E33" s="2">
        <f>IFERROR(ROUND(SUMIFS(Grades!$K:$K,Grades!$A:$A,$A33,Grades!$C:$C,"Spring 2025")/SUMIFS(Grades!$G:$G,Grades!$A:$A,$A33,Grades!$C:$C,"Spring 2025"),2),"")</f>
        <v/>
      </c>
      <c r="F33" s="2">
        <f>IFERROR(ROUND(SUMIFS(Grades!$K:$K,Grades!$A:$A,$A33,Grades!$C:$C,"Fall 2025")/SUMIFS(Grades!$G:$G,Grades!$A:$A,$A33,Grades!$C:$C,"Fall 2025"),2),"")</f>
        <v/>
      </c>
      <c r="G33" s="2">
        <f>IFERROR(ROUND(SUMIFS(Grades!$K:$K,Grades!$A:$A,$A33,Grades!$C:$C,"Spring 2026")/SUMIFS(Grades!$G:$G,Grades!$A:$A,$A33,Grades!$C:$C,"Spring 2026"),2),"")</f>
        <v/>
      </c>
      <c r="H33" s="2">
        <f>IFERROR(ROUND(SUMIFS(Grades!$K:$K,Grades!$A:$A,$A33)/SUMIFS(Grades!$G:$G,Grades!$A:$A,$A33),2),"")</f>
        <v/>
      </c>
      <c r="I33" s="2">
        <f>SUMIFS(Grades!$G:$G,Grades!$A:$A,$A33)</f>
        <v/>
      </c>
      <c r="J33" s="2">
        <f>SUMIFS(Grades!$L:$L,Grades!$A:$A,$A33)</f>
        <v/>
      </c>
    </row>
    <row r="34">
      <c r="A34" s="2" t="inlineStr">
        <is>
          <t>m250309</t>
        </is>
      </c>
      <c r="B34" s="2">
        <f>VLOOKUP(A34,Students!$A:$B,2,FALSE)</f>
        <v/>
      </c>
      <c r="C34" s="2">
        <f>VLOOKUP(A34,Students!$A:$E,5,FALSE)</f>
        <v/>
      </c>
      <c r="D34" s="2">
        <f>IFERROR(ROUND(SUMIFS(Grades!$K:$K,Grades!$A:$A,$A34,Grades!$C:$C,"Fall 2024")/SUMIFS(Grades!$G:$G,Grades!$A:$A,$A34,Grades!$C:$C,"Fall 2024"),2),"")</f>
        <v/>
      </c>
      <c r="E34" s="2">
        <f>IFERROR(ROUND(SUMIFS(Grades!$K:$K,Grades!$A:$A,$A34,Grades!$C:$C,"Spring 2025")/SUMIFS(Grades!$G:$G,Grades!$A:$A,$A34,Grades!$C:$C,"Spring 2025"),2),"")</f>
        <v/>
      </c>
      <c r="F34" s="2">
        <f>IFERROR(ROUND(SUMIFS(Grades!$K:$K,Grades!$A:$A,$A34,Grades!$C:$C,"Fall 2025")/SUMIFS(Grades!$G:$G,Grades!$A:$A,$A34,Grades!$C:$C,"Fall 2025"),2),"")</f>
        <v/>
      </c>
      <c r="G34" s="2">
        <f>IFERROR(ROUND(SUMIFS(Grades!$K:$K,Grades!$A:$A,$A34,Grades!$C:$C,"Spring 2026")/SUMIFS(Grades!$G:$G,Grades!$A:$A,$A34,Grades!$C:$C,"Spring 2026"),2),"")</f>
        <v/>
      </c>
      <c r="H34" s="2">
        <f>IFERROR(ROUND(SUMIFS(Grades!$K:$K,Grades!$A:$A,$A34)/SUMIFS(Grades!$G:$G,Grades!$A:$A,$A34),2),"")</f>
        <v/>
      </c>
      <c r="I34" s="2">
        <f>SUMIFS(Grades!$G:$G,Grades!$A:$A,$A34)</f>
        <v/>
      </c>
      <c r="J34" s="2">
        <f>SUMIFS(Grades!$L:$L,Grades!$A:$A,$A34)</f>
        <v/>
      </c>
    </row>
    <row r="35">
      <c r="A35" s="2" t="inlineStr">
        <is>
          <t>m240112</t>
        </is>
      </c>
      <c r="B35" s="2">
        <f>VLOOKUP(A35,Students!$A:$B,2,FALSE)</f>
        <v/>
      </c>
      <c r="C35" s="2">
        <f>VLOOKUP(A35,Students!$A:$E,5,FALSE)</f>
        <v/>
      </c>
      <c r="D35" s="2">
        <f>IFERROR(ROUND(SUMIFS(Grades!$K:$K,Grades!$A:$A,$A35,Grades!$C:$C,"Fall 2024")/SUMIFS(Grades!$G:$G,Grades!$A:$A,$A35,Grades!$C:$C,"Fall 2024"),2),"")</f>
        <v/>
      </c>
      <c r="E35" s="2">
        <f>IFERROR(ROUND(SUMIFS(Grades!$K:$K,Grades!$A:$A,$A35,Grades!$C:$C,"Spring 2025")/SUMIFS(Grades!$G:$G,Grades!$A:$A,$A35,Grades!$C:$C,"Spring 2025"),2),"")</f>
        <v/>
      </c>
      <c r="F35" s="2">
        <f>IFERROR(ROUND(SUMIFS(Grades!$K:$K,Grades!$A:$A,$A35,Grades!$C:$C,"Fall 2025")/SUMIFS(Grades!$G:$G,Grades!$A:$A,$A35,Grades!$C:$C,"Fall 2025"),2),"")</f>
        <v/>
      </c>
      <c r="G35" s="2">
        <f>IFERROR(ROUND(SUMIFS(Grades!$K:$K,Grades!$A:$A,$A35,Grades!$C:$C,"Spring 2026")/SUMIFS(Grades!$G:$G,Grades!$A:$A,$A35,Grades!$C:$C,"Spring 2026"),2),"")</f>
        <v/>
      </c>
      <c r="H35" s="2">
        <f>IFERROR(ROUND(SUMIFS(Grades!$K:$K,Grades!$A:$A,$A35)/SUMIFS(Grades!$G:$G,Grades!$A:$A,$A35),2),"")</f>
        <v/>
      </c>
      <c r="I35" s="2">
        <f>SUMIFS(Grades!$G:$G,Grades!$A:$A,$A35)</f>
        <v/>
      </c>
      <c r="J35" s="2">
        <f>SUMIFS(Grades!$L:$L,Grades!$A:$A,$A35)</f>
        <v/>
      </c>
    </row>
    <row r="36">
      <c r="A36" s="2" t="inlineStr">
        <is>
          <t>m250214</t>
        </is>
      </c>
      <c r="B36" s="2">
        <f>VLOOKUP(A36,Students!$A:$B,2,FALSE)</f>
        <v/>
      </c>
      <c r="C36" s="2">
        <f>VLOOKUP(A36,Students!$A:$E,5,FALSE)</f>
        <v/>
      </c>
      <c r="D36" s="2">
        <f>IFERROR(ROUND(SUMIFS(Grades!$K:$K,Grades!$A:$A,$A36,Grades!$C:$C,"Fall 2024")/SUMIFS(Grades!$G:$G,Grades!$A:$A,$A36,Grades!$C:$C,"Fall 2024"),2),"")</f>
        <v/>
      </c>
      <c r="E36" s="2">
        <f>IFERROR(ROUND(SUMIFS(Grades!$K:$K,Grades!$A:$A,$A36,Grades!$C:$C,"Spring 2025")/SUMIFS(Grades!$G:$G,Grades!$A:$A,$A36,Grades!$C:$C,"Spring 2025"),2),"")</f>
        <v/>
      </c>
      <c r="F36" s="2">
        <f>IFERROR(ROUND(SUMIFS(Grades!$K:$K,Grades!$A:$A,$A36,Grades!$C:$C,"Fall 2025")/SUMIFS(Grades!$G:$G,Grades!$A:$A,$A36,Grades!$C:$C,"Fall 2025"),2),"")</f>
        <v/>
      </c>
      <c r="G36" s="2">
        <f>IFERROR(ROUND(SUMIFS(Grades!$K:$K,Grades!$A:$A,$A36,Grades!$C:$C,"Spring 2026")/SUMIFS(Grades!$G:$G,Grades!$A:$A,$A36,Grades!$C:$C,"Spring 2026"),2),"")</f>
        <v/>
      </c>
      <c r="H36" s="2">
        <f>IFERROR(ROUND(SUMIFS(Grades!$K:$K,Grades!$A:$A,$A36)/SUMIFS(Grades!$G:$G,Grades!$A:$A,$A36),2),"")</f>
        <v/>
      </c>
      <c r="I36" s="2">
        <f>SUMIFS(Grades!$G:$G,Grades!$A:$A,$A36)</f>
        <v/>
      </c>
      <c r="J36" s="2">
        <f>SUMIFS(Grades!$L:$L,Grades!$A:$A,$A36)</f>
        <v/>
      </c>
    </row>
    <row r="37">
      <c r="A37" s="2" t="inlineStr">
        <is>
          <t>m250310</t>
        </is>
      </c>
      <c r="B37" s="2">
        <f>VLOOKUP(A37,Students!$A:$B,2,FALSE)</f>
        <v/>
      </c>
      <c r="C37" s="2">
        <f>VLOOKUP(A37,Students!$A:$E,5,FALSE)</f>
        <v/>
      </c>
      <c r="D37" s="2">
        <f>IFERROR(ROUND(SUMIFS(Grades!$K:$K,Grades!$A:$A,$A37,Grades!$C:$C,"Fall 2024")/SUMIFS(Grades!$G:$G,Grades!$A:$A,$A37,Grades!$C:$C,"Fall 2024"),2),"")</f>
        <v/>
      </c>
      <c r="E37" s="2">
        <f>IFERROR(ROUND(SUMIFS(Grades!$K:$K,Grades!$A:$A,$A37,Grades!$C:$C,"Spring 2025")/SUMIFS(Grades!$G:$G,Grades!$A:$A,$A37,Grades!$C:$C,"Spring 2025"),2),"")</f>
        <v/>
      </c>
      <c r="F37" s="2">
        <f>IFERROR(ROUND(SUMIFS(Grades!$K:$K,Grades!$A:$A,$A37,Grades!$C:$C,"Fall 2025")/SUMIFS(Grades!$G:$G,Grades!$A:$A,$A37,Grades!$C:$C,"Fall 2025"),2),"")</f>
        <v/>
      </c>
      <c r="G37" s="2">
        <f>IFERROR(ROUND(SUMIFS(Grades!$K:$K,Grades!$A:$A,$A37,Grades!$C:$C,"Spring 2026")/SUMIFS(Grades!$G:$G,Grades!$A:$A,$A37,Grades!$C:$C,"Spring 2026"),2),"")</f>
        <v/>
      </c>
      <c r="H37" s="2">
        <f>IFERROR(ROUND(SUMIFS(Grades!$K:$K,Grades!$A:$A,$A37)/SUMIFS(Grades!$G:$G,Grades!$A:$A,$A37),2),"")</f>
        <v/>
      </c>
      <c r="I37" s="2">
        <f>SUMIFS(Grades!$G:$G,Grades!$A:$A,$A37)</f>
        <v/>
      </c>
      <c r="J37" s="2">
        <f>SUMIFS(Grades!$L:$L,Grades!$A:$A,$A37)</f>
        <v/>
      </c>
    </row>
    <row r="38">
      <c r="A38" s="2" t="inlineStr">
        <is>
          <t>m240113</t>
        </is>
      </c>
      <c r="B38" s="2">
        <f>VLOOKUP(A38,Students!$A:$B,2,FALSE)</f>
        <v/>
      </c>
      <c r="C38" s="2">
        <f>VLOOKUP(A38,Students!$A:$E,5,FALSE)</f>
        <v/>
      </c>
      <c r="D38" s="2">
        <f>IFERROR(ROUND(SUMIFS(Grades!$K:$K,Grades!$A:$A,$A38,Grades!$C:$C,"Fall 2024")/SUMIFS(Grades!$G:$G,Grades!$A:$A,$A38,Grades!$C:$C,"Fall 2024"),2),"")</f>
        <v/>
      </c>
      <c r="E38" s="2">
        <f>IFERROR(ROUND(SUMIFS(Grades!$K:$K,Grades!$A:$A,$A38,Grades!$C:$C,"Spring 2025")/SUMIFS(Grades!$G:$G,Grades!$A:$A,$A38,Grades!$C:$C,"Spring 2025"),2),"")</f>
        <v/>
      </c>
      <c r="F38" s="2">
        <f>IFERROR(ROUND(SUMIFS(Grades!$K:$K,Grades!$A:$A,$A38,Grades!$C:$C,"Fall 2025")/SUMIFS(Grades!$G:$G,Grades!$A:$A,$A38,Grades!$C:$C,"Fall 2025"),2),"")</f>
        <v/>
      </c>
      <c r="G38" s="2">
        <f>IFERROR(ROUND(SUMIFS(Grades!$K:$K,Grades!$A:$A,$A38,Grades!$C:$C,"Spring 2026")/SUMIFS(Grades!$G:$G,Grades!$A:$A,$A38,Grades!$C:$C,"Spring 2026"),2),"")</f>
        <v/>
      </c>
      <c r="H38" s="2">
        <f>IFERROR(ROUND(SUMIFS(Grades!$K:$K,Grades!$A:$A,$A38)/SUMIFS(Grades!$G:$G,Grades!$A:$A,$A38),2),"")</f>
        <v/>
      </c>
      <c r="I38" s="2">
        <f>SUMIFS(Grades!$G:$G,Grades!$A:$A,$A38)</f>
        <v/>
      </c>
      <c r="J38" s="2">
        <f>SUMIFS(Grades!$L:$L,Grades!$A:$A,$A38)</f>
        <v/>
      </c>
    </row>
    <row r="39">
      <c r="A39" s="2" t="inlineStr">
        <is>
          <t>m250215</t>
        </is>
      </c>
      <c r="B39" s="2">
        <f>VLOOKUP(A39,Students!$A:$B,2,FALSE)</f>
        <v/>
      </c>
      <c r="C39" s="2">
        <f>VLOOKUP(A39,Students!$A:$E,5,FALSE)</f>
        <v/>
      </c>
      <c r="D39" s="2">
        <f>IFERROR(ROUND(SUMIFS(Grades!$K:$K,Grades!$A:$A,$A39,Grades!$C:$C,"Fall 2024")/SUMIFS(Grades!$G:$G,Grades!$A:$A,$A39,Grades!$C:$C,"Fall 2024"),2),"")</f>
        <v/>
      </c>
      <c r="E39" s="2">
        <f>IFERROR(ROUND(SUMIFS(Grades!$K:$K,Grades!$A:$A,$A39,Grades!$C:$C,"Spring 2025")/SUMIFS(Grades!$G:$G,Grades!$A:$A,$A39,Grades!$C:$C,"Spring 2025"),2),"")</f>
        <v/>
      </c>
      <c r="F39" s="2">
        <f>IFERROR(ROUND(SUMIFS(Grades!$K:$K,Grades!$A:$A,$A39,Grades!$C:$C,"Fall 2025")/SUMIFS(Grades!$G:$G,Grades!$A:$A,$A39,Grades!$C:$C,"Fall 2025"),2),"")</f>
        <v/>
      </c>
      <c r="G39" s="2">
        <f>IFERROR(ROUND(SUMIFS(Grades!$K:$K,Grades!$A:$A,$A39,Grades!$C:$C,"Spring 2026")/SUMIFS(Grades!$G:$G,Grades!$A:$A,$A39,Grades!$C:$C,"Spring 2026"),2),"")</f>
        <v/>
      </c>
      <c r="H39" s="2">
        <f>IFERROR(ROUND(SUMIFS(Grades!$K:$K,Grades!$A:$A,$A39)/SUMIFS(Grades!$G:$G,Grades!$A:$A,$A39),2),"")</f>
        <v/>
      </c>
      <c r="I39" s="2">
        <f>SUMIFS(Grades!$G:$G,Grades!$A:$A,$A39)</f>
        <v/>
      </c>
      <c r="J39" s="2">
        <f>SUMIFS(Grades!$L:$L,Grades!$A:$A,$A39)</f>
        <v/>
      </c>
    </row>
    <row r="40">
      <c r="A40" s="2" t="inlineStr">
        <is>
          <t>m250311</t>
        </is>
      </c>
      <c r="B40" s="2">
        <f>VLOOKUP(A40,Students!$A:$B,2,FALSE)</f>
        <v/>
      </c>
      <c r="C40" s="2">
        <f>VLOOKUP(A40,Students!$A:$E,5,FALSE)</f>
        <v/>
      </c>
      <c r="D40" s="2">
        <f>IFERROR(ROUND(SUMIFS(Grades!$K:$K,Grades!$A:$A,$A40,Grades!$C:$C,"Fall 2024")/SUMIFS(Grades!$G:$G,Grades!$A:$A,$A40,Grades!$C:$C,"Fall 2024"),2),"")</f>
        <v/>
      </c>
      <c r="E40" s="2">
        <f>IFERROR(ROUND(SUMIFS(Grades!$K:$K,Grades!$A:$A,$A40,Grades!$C:$C,"Spring 2025")/SUMIFS(Grades!$G:$G,Grades!$A:$A,$A40,Grades!$C:$C,"Spring 2025"),2),"")</f>
        <v/>
      </c>
      <c r="F40" s="2">
        <f>IFERROR(ROUND(SUMIFS(Grades!$K:$K,Grades!$A:$A,$A40,Grades!$C:$C,"Fall 2025")/SUMIFS(Grades!$G:$G,Grades!$A:$A,$A40,Grades!$C:$C,"Fall 2025"),2),"")</f>
        <v/>
      </c>
      <c r="G40" s="2">
        <f>IFERROR(ROUND(SUMIFS(Grades!$K:$K,Grades!$A:$A,$A40,Grades!$C:$C,"Spring 2026")/SUMIFS(Grades!$G:$G,Grades!$A:$A,$A40,Grades!$C:$C,"Spring 2026"),2),"")</f>
        <v/>
      </c>
      <c r="H40" s="2">
        <f>IFERROR(ROUND(SUMIFS(Grades!$K:$K,Grades!$A:$A,$A40)/SUMIFS(Grades!$G:$G,Grades!$A:$A,$A40),2),"")</f>
        <v/>
      </c>
      <c r="I40" s="2">
        <f>SUMIFS(Grades!$G:$G,Grades!$A:$A,$A40)</f>
        <v/>
      </c>
      <c r="J40" s="2">
        <f>SUMIFS(Grades!$L:$L,Grades!$A:$A,$A40)</f>
        <v/>
      </c>
    </row>
    <row r="41">
      <c r="A41" s="2" t="inlineStr">
        <is>
          <t>m240114</t>
        </is>
      </c>
      <c r="B41" s="2">
        <f>VLOOKUP(A41,Students!$A:$B,2,FALSE)</f>
        <v/>
      </c>
      <c r="C41" s="2">
        <f>VLOOKUP(A41,Students!$A:$E,5,FALSE)</f>
        <v/>
      </c>
      <c r="D41" s="2">
        <f>IFERROR(ROUND(SUMIFS(Grades!$K:$K,Grades!$A:$A,$A41,Grades!$C:$C,"Fall 2024")/SUMIFS(Grades!$G:$G,Grades!$A:$A,$A41,Grades!$C:$C,"Fall 2024"),2),"")</f>
        <v/>
      </c>
      <c r="E41" s="2">
        <f>IFERROR(ROUND(SUMIFS(Grades!$K:$K,Grades!$A:$A,$A41,Grades!$C:$C,"Spring 2025")/SUMIFS(Grades!$G:$G,Grades!$A:$A,$A41,Grades!$C:$C,"Spring 2025"),2),"")</f>
        <v/>
      </c>
      <c r="F41" s="2">
        <f>IFERROR(ROUND(SUMIFS(Grades!$K:$K,Grades!$A:$A,$A41,Grades!$C:$C,"Fall 2025")/SUMIFS(Grades!$G:$G,Grades!$A:$A,$A41,Grades!$C:$C,"Fall 2025"),2),"")</f>
        <v/>
      </c>
      <c r="G41" s="2">
        <f>IFERROR(ROUND(SUMIFS(Grades!$K:$K,Grades!$A:$A,$A41,Grades!$C:$C,"Spring 2026")/SUMIFS(Grades!$G:$G,Grades!$A:$A,$A41,Grades!$C:$C,"Spring 2026"),2),"")</f>
        <v/>
      </c>
      <c r="H41" s="2">
        <f>IFERROR(ROUND(SUMIFS(Grades!$K:$K,Grades!$A:$A,$A41)/SUMIFS(Grades!$G:$G,Grades!$A:$A,$A41),2),"")</f>
        <v/>
      </c>
      <c r="I41" s="2">
        <f>SUMIFS(Grades!$G:$G,Grades!$A:$A,$A41)</f>
        <v/>
      </c>
      <c r="J41" s="2">
        <f>SUMIFS(Grades!$L:$L,Grades!$A:$A,$A41)</f>
        <v/>
      </c>
    </row>
    <row r="42">
      <c r="A42" s="2" t="inlineStr">
        <is>
          <t>m250216</t>
        </is>
      </c>
      <c r="B42" s="2">
        <f>VLOOKUP(A42,Students!$A:$B,2,FALSE)</f>
        <v/>
      </c>
      <c r="C42" s="2">
        <f>VLOOKUP(A42,Students!$A:$E,5,FALSE)</f>
        <v/>
      </c>
      <c r="D42" s="2">
        <f>IFERROR(ROUND(SUMIFS(Grades!$K:$K,Grades!$A:$A,$A42,Grades!$C:$C,"Fall 2024")/SUMIFS(Grades!$G:$G,Grades!$A:$A,$A42,Grades!$C:$C,"Fall 2024"),2),"")</f>
        <v/>
      </c>
      <c r="E42" s="2">
        <f>IFERROR(ROUND(SUMIFS(Grades!$K:$K,Grades!$A:$A,$A42,Grades!$C:$C,"Spring 2025")/SUMIFS(Grades!$G:$G,Grades!$A:$A,$A42,Grades!$C:$C,"Spring 2025"),2),"")</f>
        <v/>
      </c>
      <c r="F42" s="2">
        <f>IFERROR(ROUND(SUMIFS(Grades!$K:$K,Grades!$A:$A,$A42,Grades!$C:$C,"Fall 2025")/SUMIFS(Grades!$G:$G,Grades!$A:$A,$A42,Grades!$C:$C,"Fall 2025"),2),"")</f>
        <v/>
      </c>
      <c r="G42" s="2">
        <f>IFERROR(ROUND(SUMIFS(Grades!$K:$K,Grades!$A:$A,$A42,Grades!$C:$C,"Spring 2026")/SUMIFS(Grades!$G:$G,Grades!$A:$A,$A42,Grades!$C:$C,"Spring 2026"),2),"")</f>
        <v/>
      </c>
      <c r="H42" s="2">
        <f>IFERROR(ROUND(SUMIFS(Grades!$K:$K,Grades!$A:$A,$A42)/SUMIFS(Grades!$G:$G,Grades!$A:$A,$A42),2),"")</f>
        <v/>
      </c>
      <c r="I42" s="2">
        <f>SUMIFS(Grades!$G:$G,Grades!$A:$A,$A42)</f>
        <v/>
      </c>
      <c r="J42" s="2">
        <f>SUMIFS(Grades!$L:$L,Grades!$A:$A,$A42)</f>
        <v/>
      </c>
    </row>
    <row r="43">
      <c r="A43" s="2" t="inlineStr">
        <is>
          <t>m250312</t>
        </is>
      </c>
      <c r="B43" s="2">
        <f>VLOOKUP(A43,Students!$A:$B,2,FALSE)</f>
        <v/>
      </c>
      <c r="C43" s="2">
        <f>VLOOKUP(A43,Students!$A:$E,5,FALSE)</f>
        <v/>
      </c>
      <c r="D43" s="2">
        <f>IFERROR(ROUND(SUMIFS(Grades!$K:$K,Grades!$A:$A,$A43,Grades!$C:$C,"Fall 2024")/SUMIFS(Grades!$G:$G,Grades!$A:$A,$A43,Grades!$C:$C,"Fall 2024"),2),"")</f>
        <v/>
      </c>
      <c r="E43" s="2">
        <f>IFERROR(ROUND(SUMIFS(Grades!$K:$K,Grades!$A:$A,$A43,Grades!$C:$C,"Spring 2025")/SUMIFS(Grades!$G:$G,Grades!$A:$A,$A43,Grades!$C:$C,"Spring 2025"),2),"")</f>
        <v/>
      </c>
      <c r="F43" s="2">
        <f>IFERROR(ROUND(SUMIFS(Grades!$K:$K,Grades!$A:$A,$A43,Grades!$C:$C,"Fall 2025")/SUMIFS(Grades!$G:$G,Grades!$A:$A,$A43,Grades!$C:$C,"Fall 2025"),2),"")</f>
        <v/>
      </c>
      <c r="G43" s="2">
        <f>IFERROR(ROUND(SUMIFS(Grades!$K:$K,Grades!$A:$A,$A43,Grades!$C:$C,"Spring 2026")/SUMIFS(Grades!$G:$G,Grades!$A:$A,$A43,Grades!$C:$C,"Spring 2026"),2),"")</f>
        <v/>
      </c>
      <c r="H43" s="2">
        <f>IFERROR(ROUND(SUMIFS(Grades!$K:$K,Grades!$A:$A,$A43)/SUMIFS(Grades!$G:$G,Grades!$A:$A,$A43),2),"")</f>
        <v/>
      </c>
      <c r="I43" s="2">
        <f>SUMIFS(Grades!$G:$G,Grades!$A:$A,$A43)</f>
        <v/>
      </c>
      <c r="J43" s="2">
        <f>SUMIFS(Grades!$L:$L,Grades!$A:$A,$A43)</f>
        <v/>
      </c>
    </row>
    <row r="44">
      <c r="A44" s="2" t="inlineStr">
        <is>
          <t>m240115</t>
        </is>
      </c>
      <c r="B44" s="2">
        <f>VLOOKUP(A44,Students!$A:$B,2,FALSE)</f>
        <v/>
      </c>
      <c r="C44" s="2">
        <f>VLOOKUP(A44,Students!$A:$E,5,FALSE)</f>
        <v/>
      </c>
      <c r="D44" s="2">
        <f>IFERROR(ROUND(SUMIFS(Grades!$K:$K,Grades!$A:$A,$A44,Grades!$C:$C,"Fall 2024")/SUMIFS(Grades!$G:$G,Grades!$A:$A,$A44,Grades!$C:$C,"Fall 2024"),2),"")</f>
        <v/>
      </c>
      <c r="E44" s="2">
        <f>IFERROR(ROUND(SUMIFS(Grades!$K:$K,Grades!$A:$A,$A44,Grades!$C:$C,"Spring 2025")/SUMIFS(Grades!$G:$G,Grades!$A:$A,$A44,Grades!$C:$C,"Spring 2025"),2),"")</f>
        <v/>
      </c>
      <c r="F44" s="2">
        <f>IFERROR(ROUND(SUMIFS(Grades!$K:$K,Grades!$A:$A,$A44,Grades!$C:$C,"Fall 2025")/SUMIFS(Grades!$G:$G,Grades!$A:$A,$A44,Grades!$C:$C,"Fall 2025"),2),"")</f>
        <v/>
      </c>
      <c r="G44" s="2">
        <f>IFERROR(ROUND(SUMIFS(Grades!$K:$K,Grades!$A:$A,$A44,Grades!$C:$C,"Spring 2026")/SUMIFS(Grades!$G:$G,Grades!$A:$A,$A44,Grades!$C:$C,"Spring 2026"),2),"")</f>
        <v/>
      </c>
      <c r="H44" s="2">
        <f>IFERROR(ROUND(SUMIFS(Grades!$K:$K,Grades!$A:$A,$A44)/SUMIFS(Grades!$G:$G,Grades!$A:$A,$A44),2),"")</f>
        <v/>
      </c>
      <c r="I44" s="2">
        <f>SUMIFS(Grades!$G:$G,Grades!$A:$A,$A44)</f>
        <v/>
      </c>
      <c r="J44" s="2">
        <f>SUMIFS(Grades!$L:$L,Grades!$A:$A,$A44)</f>
        <v/>
      </c>
    </row>
    <row r="45">
      <c r="A45" s="2" t="inlineStr">
        <is>
          <t>m250217</t>
        </is>
      </c>
      <c r="B45" s="2">
        <f>VLOOKUP(A45,Students!$A:$B,2,FALSE)</f>
        <v/>
      </c>
      <c r="C45" s="2">
        <f>VLOOKUP(A45,Students!$A:$E,5,FALSE)</f>
        <v/>
      </c>
      <c r="D45" s="2">
        <f>IFERROR(ROUND(SUMIFS(Grades!$K:$K,Grades!$A:$A,$A45,Grades!$C:$C,"Fall 2024")/SUMIFS(Grades!$G:$G,Grades!$A:$A,$A45,Grades!$C:$C,"Fall 2024"),2),"")</f>
        <v/>
      </c>
      <c r="E45" s="2">
        <f>IFERROR(ROUND(SUMIFS(Grades!$K:$K,Grades!$A:$A,$A45,Grades!$C:$C,"Spring 2025")/SUMIFS(Grades!$G:$G,Grades!$A:$A,$A45,Grades!$C:$C,"Spring 2025"),2),"")</f>
        <v/>
      </c>
      <c r="F45" s="2">
        <f>IFERROR(ROUND(SUMIFS(Grades!$K:$K,Grades!$A:$A,$A45,Grades!$C:$C,"Fall 2025")/SUMIFS(Grades!$G:$G,Grades!$A:$A,$A45,Grades!$C:$C,"Fall 2025"),2),"")</f>
        <v/>
      </c>
      <c r="G45" s="2">
        <f>IFERROR(ROUND(SUMIFS(Grades!$K:$K,Grades!$A:$A,$A45,Grades!$C:$C,"Spring 2026")/SUMIFS(Grades!$G:$G,Grades!$A:$A,$A45,Grades!$C:$C,"Spring 2026"),2),"")</f>
        <v/>
      </c>
      <c r="H45" s="2">
        <f>IFERROR(ROUND(SUMIFS(Grades!$K:$K,Grades!$A:$A,$A45)/SUMIFS(Grades!$G:$G,Grades!$A:$A,$A45),2),"")</f>
        <v/>
      </c>
      <c r="I45" s="2">
        <f>SUMIFS(Grades!$G:$G,Grades!$A:$A,$A45)</f>
        <v/>
      </c>
      <c r="J45" s="2">
        <f>SUMIFS(Grades!$L:$L,Grades!$A:$A,$A45)</f>
        <v/>
      </c>
    </row>
    <row r="46">
      <c r="A46" s="2" t="inlineStr">
        <is>
          <t>m250313</t>
        </is>
      </c>
      <c r="B46" s="2">
        <f>VLOOKUP(A46,Students!$A:$B,2,FALSE)</f>
        <v/>
      </c>
      <c r="C46" s="2">
        <f>VLOOKUP(A46,Students!$A:$E,5,FALSE)</f>
        <v/>
      </c>
      <c r="D46" s="2">
        <f>IFERROR(ROUND(SUMIFS(Grades!$K:$K,Grades!$A:$A,$A46,Grades!$C:$C,"Fall 2024")/SUMIFS(Grades!$G:$G,Grades!$A:$A,$A46,Grades!$C:$C,"Fall 2024"),2),"")</f>
        <v/>
      </c>
      <c r="E46" s="2">
        <f>IFERROR(ROUND(SUMIFS(Grades!$K:$K,Grades!$A:$A,$A46,Grades!$C:$C,"Spring 2025")/SUMIFS(Grades!$G:$G,Grades!$A:$A,$A46,Grades!$C:$C,"Spring 2025"),2),"")</f>
        <v/>
      </c>
      <c r="F46" s="2">
        <f>IFERROR(ROUND(SUMIFS(Grades!$K:$K,Grades!$A:$A,$A46,Grades!$C:$C,"Fall 2025")/SUMIFS(Grades!$G:$G,Grades!$A:$A,$A46,Grades!$C:$C,"Fall 2025"),2),"")</f>
        <v/>
      </c>
      <c r="G46" s="2">
        <f>IFERROR(ROUND(SUMIFS(Grades!$K:$K,Grades!$A:$A,$A46,Grades!$C:$C,"Spring 2026")/SUMIFS(Grades!$G:$G,Grades!$A:$A,$A46,Grades!$C:$C,"Spring 2026"),2),"")</f>
        <v/>
      </c>
      <c r="H46" s="2">
        <f>IFERROR(ROUND(SUMIFS(Grades!$K:$K,Grades!$A:$A,$A46)/SUMIFS(Grades!$G:$G,Grades!$A:$A,$A46),2),"")</f>
        <v/>
      </c>
      <c r="I46" s="2">
        <f>SUMIFS(Grades!$G:$G,Grades!$A:$A,$A46)</f>
        <v/>
      </c>
      <c r="J46" s="2">
        <f>SUMIFS(Grades!$L:$L,Grades!$A:$A,$A46)</f>
        <v/>
      </c>
    </row>
    <row r="47">
      <c r="A47" s="2" t="inlineStr">
        <is>
          <t>m240116</t>
        </is>
      </c>
      <c r="B47" s="2">
        <f>VLOOKUP(A47,Students!$A:$B,2,FALSE)</f>
        <v/>
      </c>
      <c r="C47" s="2">
        <f>VLOOKUP(A47,Students!$A:$E,5,FALSE)</f>
        <v/>
      </c>
      <c r="D47" s="2">
        <f>IFERROR(ROUND(SUMIFS(Grades!$K:$K,Grades!$A:$A,$A47,Grades!$C:$C,"Fall 2024")/SUMIFS(Grades!$G:$G,Grades!$A:$A,$A47,Grades!$C:$C,"Fall 2024"),2),"")</f>
        <v/>
      </c>
      <c r="E47" s="2">
        <f>IFERROR(ROUND(SUMIFS(Grades!$K:$K,Grades!$A:$A,$A47,Grades!$C:$C,"Spring 2025")/SUMIFS(Grades!$G:$G,Grades!$A:$A,$A47,Grades!$C:$C,"Spring 2025"),2),"")</f>
        <v/>
      </c>
      <c r="F47" s="2">
        <f>IFERROR(ROUND(SUMIFS(Grades!$K:$K,Grades!$A:$A,$A47,Grades!$C:$C,"Fall 2025")/SUMIFS(Grades!$G:$G,Grades!$A:$A,$A47,Grades!$C:$C,"Fall 2025"),2),"")</f>
        <v/>
      </c>
      <c r="G47" s="2">
        <f>IFERROR(ROUND(SUMIFS(Grades!$K:$K,Grades!$A:$A,$A47,Grades!$C:$C,"Spring 2026")/SUMIFS(Grades!$G:$G,Grades!$A:$A,$A47,Grades!$C:$C,"Spring 2026"),2),"")</f>
        <v/>
      </c>
      <c r="H47" s="2">
        <f>IFERROR(ROUND(SUMIFS(Grades!$K:$K,Grades!$A:$A,$A47)/SUMIFS(Grades!$G:$G,Grades!$A:$A,$A47),2),"")</f>
        <v/>
      </c>
      <c r="I47" s="2">
        <f>SUMIFS(Grades!$G:$G,Grades!$A:$A,$A47)</f>
        <v/>
      </c>
      <c r="J47" s="2">
        <f>SUMIFS(Grades!$L:$L,Grades!$A:$A,$A47)</f>
        <v/>
      </c>
    </row>
    <row r="48">
      <c r="A48" s="2" t="inlineStr">
        <is>
          <t>m250218</t>
        </is>
      </c>
      <c r="B48" s="2">
        <f>VLOOKUP(A48,Students!$A:$B,2,FALSE)</f>
        <v/>
      </c>
      <c r="C48" s="2">
        <f>VLOOKUP(A48,Students!$A:$E,5,FALSE)</f>
        <v/>
      </c>
      <c r="D48" s="2">
        <f>IFERROR(ROUND(SUMIFS(Grades!$K:$K,Grades!$A:$A,$A48,Grades!$C:$C,"Fall 2024")/SUMIFS(Grades!$G:$G,Grades!$A:$A,$A48,Grades!$C:$C,"Fall 2024"),2),"")</f>
        <v/>
      </c>
      <c r="E48" s="2">
        <f>IFERROR(ROUND(SUMIFS(Grades!$K:$K,Grades!$A:$A,$A48,Grades!$C:$C,"Spring 2025")/SUMIFS(Grades!$G:$G,Grades!$A:$A,$A48,Grades!$C:$C,"Spring 2025"),2),"")</f>
        <v/>
      </c>
      <c r="F48" s="2">
        <f>IFERROR(ROUND(SUMIFS(Grades!$K:$K,Grades!$A:$A,$A48,Grades!$C:$C,"Fall 2025")/SUMIFS(Grades!$G:$G,Grades!$A:$A,$A48,Grades!$C:$C,"Fall 2025"),2),"")</f>
        <v/>
      </c>
      <c r="G48" s="2">
        <f>IFERROR(ROUND(SUMIFS(Grades!$K:$K,Grades!$A:$A,$A48,Grades!$C:$C,"Spring 2026")/SUMIFS(Grades!$G:$G,Grades!$A:$A,$A48,Grades!$C:$C,"Spring 2026"),2),"")</f>
        <v/>
      </c>
      <c r="H48" s="2">
        <f>IFERROR(ROUND(SUMIFS(Grades!$K:$K,Grades!$A:$A,$A48)/SUMIFS(Grades!$G:$G,Grades!$A:$A,$A48),2),"")</f>
        <v/>
      </c>
      <c r="I48" s="2">
        <f>SUMIFS(Grades!$G:$G,Grades!$A:$A,$A48)</f>
        <v/>
      </c>
      <c r="J48" s="2">
        <f>SUMIFS(Grades!$L:$L,Grades!$A:$A,$A48)</f>
        <v/>
      </c>
    </row>
    <row r="49">
      <c r="A49" s="2" t="inlineStr">
        <is>
          <t>m250314</t>
        </is>
      </c>
      <c r="B49" s="2">
        <f>VLOOKUP(A49,Students!$A:$B,2,FALSE)</f>
        <v/>
      </c>
      <c r="C49" s="2">
        <f>VLOOKUP(A49,Students!$A:$E,5,FALSE)</f>
        <v/>
      </c>
      <c r="D49" s="2">
        <f>IFERROR(ROUND(SUMIFS(Grades!$K:$K,Grades!$A:$A,$A49,Grades!$C:$C,"Fall 2024")/SUMIFS(Grades!$G:$G,Grades!$A:$A,$A49,Grades!$C:$C,"Fall 2024"),2),"")</f>
        <v/>
      </c>
      <c r="E49" s="2">
        <f>IFERROR(ROUND(SUMIFS(Grades!$K:$K,Grades!$A:$A,$A49,Grades!$C:$C,"Spring 2025")/SUMIFS(Grades!$G:$G,Grades!$A:$A,$A49,Grades!$C:$C,"Spring 2025"),2),"")</f>
        <v/>
      </c>
      <c r="F49" s="2">
        <f>IFERROR(ROUND(SUMIFS(Grades!$K:$K,Grades!$A:$A,$A49,Grades!$C:$C,"Fall 2025")/SUMIFS(Grades!$G:$G,Grades!$A:$A,$A49,Grades!$C:$C,"Fall 2025"),2),"")</f>
        <v/>
      </c>
      <c r="G49" s="2">
        <f>IFERROR(ROUND(SUMIFS(Grades!$K:$K,Grades!$A:$A,$A49,Grades!$C:$C,"Spring 2026")/SUMIFS(Grades!$G:$G,Grades!$A:$A,$A49,Grades!$C:$C,"Spring 2026"),2),"")</f>
        <v/>
      </c>
      <c r="H49" s="2">
        <f>IFERROR(ROUND(SUMIFS(Grades!$K:$K,Grades!$A:$A,$A49)/SUMIFS(Grades!$G:$G,Grades!$A:$A,$A49),2),"")</f>
        <v/>
      </c>
      <c r="I49" s="2">
        <f>SUMIFS(Grades!$G:$G,Grades!$A:$A,$A49)</f>
        <v/>
      </c>
      <c r="J49" s="2">
        <f>SUMIFS(Grades!$L:$L,Grades!$A:$A,$A49)</f>
        <v/>
      </c>
    </row>
    <row r="50">
      <c r="A50" s="2" t="inlineStr">
        <is>
          <t>m240117</t>
        </is>
      </c>
      <c r="B50" s="2">
        <f>VLOOKUP(A50,Students!$A:$B,2,FALSE)</f>
        <v/>
      </c>
      <c r="C50" s="2">
        <f>VLOOKUP(A50,Students!$A:$E,5,FALSE)</f>
        <v/>
      </c>
      <c r="D50" s="2">
        <f>IFERROR(ROUND(SUMIFS(Grades!$K:$K,Grades!$A:$A,$A50,Grades!$C:$C,"Fall 2024")/SUMIFS(Grades!$G:$G,Grades!$A:$A,$A50,Grades!$C:$C,"Fall 2024"),2),"")</f>
        <v/>
      </c>
      <c r="E50" s="2">
        <f>IFERROR(ROUND(SUMIFS(Grades!$K:$K,Grades!$A:$A,$A50,Grades!$C:$C,"Spring 2025")/SUMIFS(Grades!$G:$G,Grades!$A:$A,$A50,Grades!$C:$C,"Spring 2025"),2),"")</f>
        <v/>
      </c>
      <c r="F50" s="2">
        <f>IFERROR(ROUND(SUMIFS(Grades!$K:$K,Grades!$A:$A,$A50,Grades!$C:$C,"Fall 2025")/SUMIFS(Grades!$G:$G,Grades!$A:$A,$A50,Grades!$C:$C,"Fall 2025"),2),"")</f>
        <v/>
      </c>
      <c r="G50" s="2">
        <f>IFERROR(ROUND(SUMIFS(Grades!$K:$K,Grades!$A:$A,$A50,Grades!$C:$C,"Spring 2026")/SUMIFS(Grades!$G:$G,Grades!$A:$A,$A50,Grades!$C:$C,"Spring 2026"),2),"")</f>
        <v/>
      </c>
      <c r="H50" s="2">
        <f>IFERROR(ROUND(SUMIFS(Grades!$K:$K,Grades!$A:$A,$A50)/SUMIFS(Grades!$G:$G,Grades!$A:$A,$A50),2),"")</f>
        <v/>
      </c>
      <c r="I50" s="2">
        <f>SUMIFS(Grades!$G:$G,Grades!$A:$A,$A50)</f>
        <v/>
      </c>
      <c r="J50" s="2">
        <f>SUMIFS(Grades!$L:$L,Grades!$A:$A,$A50)</f>
        <v/>
      </c>
    </row>
    <row r="51">
      <c r="A51" s="2" t="inlineStr">
        <is>
          <t>m250219</t>
        </is>
      </c>
      <c r="B51" s="2">
        <f>VLOOKUP(A51,Students!$A:$B,2,FALSE)</f>
        <v/>
      </c>
      <c r="C51" s="2">
        <f>VLOOKUP(A51,Students!$A:$E,5,FALSE)</f>
        <v/>
      </c>
      <c r="D51" s="2">
        <f>IFERROR(ROUND(SUMIFS(Grades!$K:$K,Grades!$A:$A,$A51,Grades!$C:$C,"Fall 2024")/SUMIFS(Grades!$G:$G,Grades!$A:$A,$A51,Grades!$C:$C,"Fall 2024"),2),"")</f>
        <v/>
      </c>
      <c r="E51" s="2">
        <f>IFERROR(ROUND(SUMIFS(Grades!$K:$K,Grades!$A:$A,$A51,Grades!$C:$C,"Spring 2025")/SUMIFS(Grades!$G:$G,Grades!$A:$A,$A51,Grades!$C:$C,"Spring 2025"),2),"")</f>
        <v/>
      </c>
      <c r="F51" s="2">
        <f>IFERROR(ROUND(SUMIFS(Grades!$K:$K,Grades!$A:$A,$A51,Grades!$C:$C,"Fall 2025")/SUMIFS(Grades!$G:$G,Grades!$A:$A,$A51,Grades!$C:$C,"Fall 2025"),2),"")</f>
        <v/>
      </c>
      <c r="G51" s="2">
        <f>IFERROR(ROUND(SUMIFS(Grades!$K:$K,Grades!$A:$A,$A51,Grades!$C:$C,"Spring 2026")/SUMIFS(Grades!$G:$G,Grades!$A:$A,$A51,Grades!$C:$C,"Spring 2026"),2),"")</f>
        <v/>
      </c>
      <c r="H51" s="2">
        <f>IFERROR(ROUND(SUMIFS(Grades!$K:$K,Grades!$A:$A,$A51)/SUMIFS(Grades!$G:$G,Grades!$A:$A,$A51),2),"")</f>
        <v/>
      </c>
      <c r="I51" s="2">
        <f>SUMIFS(Grades!$G:$G,Grades!$A:$A,$A51)</f>
        <v/>
      </c>
      <c r="J51" s="2">
        <f>SUMIFS(Grades!$L:$L,Grades!$A:$A,$A51)</f>
        <v/>
      </c>
    </row>
  </sheetData>
  <autoFilter ref="A1:J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2026-10-11T15:27:11Z</dcterms:created>
  <dcterms:modified xmlns:dcterms="http://purl.org/dc/terms/" xmlns:xsi="http://www.w3.org/2001/XMLSchema-instance" xsi:type="dcterms:W3CDTF">2026-10-11T15:27:12Z</dcterms:modified>
</cp:coreProperties>
</file>