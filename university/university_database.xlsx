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Courses" sheetId="3" state="visible" r:id="rId3"/>
    <sheet xmlns:r="http://schemas.openxmlformats.org/officeDocument/2006/relationships" name="Grades" sheetId="4" state="visible" r:id="rId4"/>
    <sheet xmlns:r="http://schemas.openxmlformats.org/officeDocument/2006/relationships" name="Grade Scale" sheetId="5" state="visible" r:id="rId5"/>
    <sheet xmlns:r="http://schemas.openxmlformats.org/officeDocument/2006/relationships" name="GPA Summary" sheetId="6" state="visible" r:id="rId6"/>
  </sheets>
  <definedNames>
    <definedName name="_xlnm._FilterDatabase" localSheetId="1" hidden="1">'Students'!$A$1:$O$13</definedName>
    <definedName name="_xlnm._FilterDatabase" localSheetId="2" hidden="1">'Courses'!$A$1:$E$114</definedName>
    <definedName name="_xlnm._FilterDatabase" localSheetId="3" hidden="1">'Grades'!$A$1:$K$176</definedName>
    <definedName name="_xlnm._FilterDatabase" localSheetId="4" hidden="1">'Grade Scale'!$A$1:$D$12</definedName>
    <definedName name="_xlnm._FilterDatabase" localSheetId="5" hidden="1">'GPA Summary'!$A$1:$H$13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A4D"/>
      </patternFill>
    </fill>
  </fills>
  <borders count="2">
    <border>
      <left/>
      <right/>
      <top/>
      <bottom/>
      <diagonal/>
    </border>
    <border>
      <left style="thin">
        <color rgb="00D9D2C3"/>
      </left>
      <right style="thin">
        <color rgb="00D9D2C3"/>
      </right>
      <top style="thin">
        <color rgb="00D9D2C3"/>
      </top>
      <bottom style="thin">
        <color rgb="00D9D2C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University Academic Database</t>
        </is>
      </c>
    </row>
    <row r="2">
      <c r="A2" t="inlineStr"/>
    </row>
    <row r="3">
      <c r="A3" t="inlineStr">
        <is>
          <t>Students    - one row per student (ID, passport, contacts, login/password, program, status).</t>
        </is>
      </c>
    </row>
    <row r="4">
      <c r="A4" t="inlineStr">
        <is>
          <t>Courses     - course catalogue: code, title, ECTS credits.</t>
        </is>
      </c>
    </row>
    <row r="5">
      <c r="A5" t="inlineStr">
        <is>
          <t>Grades      - one row per student per course. Fill in Student ID, Term, Semester, Course Code,</t>
        </is>
      </c>
    </row>
    <row r="6">
      <c r="A6" t="inlineStr">
        <is>
          <t xml:space="preserve">              Grade and Final Score. Grey formula columns fill themselves.</t>
        </is>
      </c>
    </row>
    <row r="7">
      <c r="A7" t="inlineStr">
        <is>
          <t xml:space="preserve">              Leave Grade empty for a course that is not graded yet (shows as '—').</t>
        </is>
      </c>
    </row>
    <row r="8">
      <c r="A8" t="inlineStr">
        <is>
          <t>Grade Scale - letter -&gt; grade points.</t>
        </is>
      </c>
    </row>
    <row r="9">
      <c r="A9" t="inlineStr">
        <is>
          <t>GPA Summary - calculated automatically from the Grades sheet.</t>
        </is>
      </c>
    </row>
    <row r="10">
      <c r="A10" t="inlineStr"/>
    </row>
    <row r="11">
      <c r="A11" t="inlineStr">
        <is>
          <t>GPA rule (same as the issued transcript): semester GPA = sum(grade points x ECTS) / ECTS of all</t>
        </is>
      </c>
    </row>
    <row r="12">
      <c r="A12" t="inlineStr">
        <is>
          <t>courses in that term; ungraded courses count as 0; capped at 4.00. ECTS earned = credits of graded, non-F courses.</t>
        </is>
      </c>
    </row>
    <row r="13">
      <c r="A13" t="inlineStr"/>
    </row>
    <row r="14">
      <c r="A14" t="inlineStr">
        <is>
          <t>Open index.html (in the same folder) to browse students and print transcripts.</t>
        </is>
      </c>
    </row>
    <row r="15">
      <c r="A15" t="inlineStr">
        <is>
          <t>WARNING: this file contains passports and passwords - do not publish it on a public website.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13" customWidth="1" min="4" max="4"/>
    <col width="13" customWidth="1" min="5" max="5"/>
    <col width="18" customWidth="1" min="6" max="6"/>
    <col width="28" customWidth="1" min="7" max="7"/>
    <col width="11" customWidth="1" min="8" max="8"/>
    <col width="14" customWidth="1" min="9" max="9"/>
    <col width="30" customWidth="1" min="10" max="10"/>
    <col width="36" customWidth="1" min="11" max="11"/>
    <col width="10" customWidth="1" min="12" max="12"/>
    <col width="15" customWidth="1" min="13" max="13"/>
    <col width="10" customWidth="1" min="14" max="14"/>
    <col width="15" customWidth="1" min="15" max="15"/>
  </cols>
  <sheetData>
    <row r="1" ht="30" customHeight="1">
      <c r="A1" s="2" t="inlineStr">
        <is>
          <t>Student ID</t>
        </is>
      </c>
      <c r="B1" s="2" t="inlineStr">
        <is>
          <t>Full Name</t>
        </is>
      </c>
      <c r="C1" s="2" t="inlineStr">
        <is>
          <t>Gender</t>
        </is>
      </c>
      <c r="D1" s="2" t="inlineStr">
        <is>
          <t>Date of Birth</t>
        </is>
      </c>
      <c r="E1" s="2" t="inlineStr">
        <is>
          <t>Passport</t>
        </is>
      </c>
      <c r="F1" s="2" t="inlineStr">
        <is>
          <t>Phone</t>
        </is>
      </c>
      <c r="G1" s="2" t="inlineStr">
        <is>
          <t>Email</t>
        </is>
      </c>
      <c r="H1" s="2" t="inlineStr">
        <is>
          <t>Login</t>
        </is>
      </c>
      <c r="I1" s="2" t="inlineStr">
        <is>
          <t>Password</t>
        </is>
      </c>
      <c r="J1" s="2" t="inlineStr">
        <is>
          <t>Faculty</t>
        </is>
      </c>
      <c r="K1" s="2" t="inlineStr">
        <is>
          <t>Program</t>
        </is>
      </c>
      <c r="L1" s="2" t="inlineStr">
        <is>
          <t>Level</t>
        </is>
      </c>
      <c r="M1" s="2" t="inlineStr">
        <is>
          <t>Enrollment Date</t>
        </is>
      </c>
      <c r="N1" s="2" t="inlineStr">
        <is>
          <t>Status</t>
        </is>
      </c>
      <c r="O1" s="2" t="inlineStr">
        <is>
          <t>Transcript Issued Date</t>
        </is>
      </c>
    </row>
    <row r="2">
      <c r="A2" s="3" t="inlineStr">
        <is>
          <t>m250251</t>
        </is>
      </c>
      <c r="B2" s="3" t="inlineStr">
        <is>
          <t>In'om Norqulov</t>
        </is>
      </c>
      <c r="C2" s="3" t="inlineStr">
        <is>
          <t>M</t>
        </is>
      </c>
      <c r="D2" s="3" t="inlineStr">
        <is>
          <t>1998-03-14</t>
        </is>
      </c>
      <c r="E2" s="3" t="inlineStr">
        <is>
          <t>AE5244941</t>
        </is>
      </c>
      <c r="F2" s="3" t="inlineStr">
        <is>
          <t>+998 97 277 77 10</t>
        </is>
      </c>
      <c r="G2" s="3" t="inlineStr">
        <is>
          <t>inorkulov@aut-edu.uz</t>
        </is>
      </c>
      <c r="H2" s="3" t="inlineStr">
        <is>
          <t>m250251</t>
        </is>
      </c>
      <c r="I2" s="3" t="inlineStr">
        <is>
          <t>xyKoeyzg!</t>
        </is>
      </c>
      <c r="J2" s="3" t="inlineStr">
        <is>
          <t>Faculty of Business</t>
        </is>
      </c>
      <c r="K2" s="3" t="inlineStr">
        <is>
          <t>Master of Global Management</t>
        </is>
      </c>
      <c r="L2" s="3" t="inlineStr">
        <is>
          <t>Master</t>
        </is>
      </c>
      <c r="M2" s="3" t="inlineStr">
        <is>
          <t>Spring 2025</t>
        </is>
      </c>
      <c r="N2" s="3" t="inlineStr">
        <is>
          <t>Active</t>
        </is>
      </c>
      <c r="O2" s="3" t="inlineStr">
        <is>
          <t>2026-08-26</t>
        </is>
      </c>
    </row>
    <row r="3">
      <c r="A3" s="3" t="inlineStr">
        <is>
          <t>m250268</t>
        </is>
      </c>
      <c r="B3" s="3" t="inlineStr">
        <is>
          <t>Alisher Juraev</t>
        </is>
      </c>
      <c r="C3" s="3" t="inlineStr">
        <is>
          <t>M</t>
        </is>
      </c>
      <c r="D3" s="3" t="inlineStr">
        <is>
          <t>2006-05-21</t>
        </is>
      </c>
      <c r="E3" s="3" t="inlineStr">
        <is>
          <t>AC4549272</t>
        </is>
      </c>
      <c r="F3" s="3" t="inlineStr">
        <is>
          <t>+998 96 201 62 16</t>
        </is>
      </c>
      <c r="G3" s="3" t="inlineStr">
        <is>
          <t>ajuraev@university-edu.uz</t>
        </is>
      </c>
      <c r="H3" s="3" t="inlineStr">
        <is>
          <t>m250268</t>
        </is>
      </c>
      <c r="I3" s="3" t="inlineStr">
        <is>
          <t>NbJGeX5m@</t>
        </is>
      </c>
      <c r="J3" s="3" t="inlineStr">
        <is>
          <t>Faculty of Computer Science</t>
        </is>
      </c>
      <c r="K3" s="3" t="inlineStr">
        <is>
          <t>Bachelor of Software Engineering</t>
        </is>
      </c>
      <c r="L3" s="3" t="inlineStr">
        <is>
          <t>Bachelor</t>
        </is>
      </c>
      <c r="M3" s="3" t="inlineStr">
        <is>
          <t>Spring 2025</t>
        </is>
      </c>
      <c r="N3" s="3" t="inlineStr">
        <is>
          <t>Active</t>
        </is>
      </c>
      <c r="O3" s="3" t="inlineStr">
        <is>
          <t>2026-09-15</t>
        </is>
      </c>
    </row>
    <row r="4">
      <c r="A4" s="3" t="inlineStr">
        <is>
          <t>m250269</t>
        </is>
      </c>
      <c r="B4" s="3" t="inlineStr">
        <is>
          <t>Fariza Yunusova</t>
        </is>
      </c>
      <c r="C4" s="3" t="inlineStr">
        <is>
          <t>F</t>
        </is>
      </c>
      <c r="D4" s="3" t="inlineStr">
        <is>
          <t>1999-11-02</t>
        </is>
      </c>
      <c r="E4" s="3" t="inlineStr">
        <is>
          <t>AE8727880</t>
        </is>
      </c>
      <c r="F4" s="3" t="inlineStr">
        <is>
          <t>+998 94 553 83 32</t>
        </is>
      </c>
      <c r="G4" s="3" t="inlineStr">
        <is>
          <t>fyunusova@university-edu.uz</t>
        </is>
      </c>
      <c r="H4" s="3" t="inlineStr">
        <is>
          <t>m250269</t>
        </is>
      </c>
      <c r="I4" s="3" t="inlineStr">
        <is>
          <t>0UuHCIZZ$</t>
        </is>
      </c>
      <c r="J4" s="3" t="inlineStr">
        <is>
          <t>Faculty of Business</t>
        </is>
      </c>
      <c r="K4" s="3" t="inlineStr">
        <is>
          <t>Master of Business Administration</t>
        </is>
      </c>
      <c r="L4" s="3" t="inlineStr">
        <is>
          <t>Master</t>
        </is>
      </c>
      <c r="M4" s="3" t="inlineStr">
        <is>
          <t>Spring 2025</t>
        </is>
      </c>
      <c r="N4" s="3" t="inlineStr">
        <is>
          <t>Active</t>
        </is>
      </c>
      <c r="O4" s="3" t="inlineStr">
        <is>
          <t>2026-09-15</t>
        </is>
      </c>
    </row>
    <row r="5">
      <c r="A5" s="3" t="inlineStr">
        <is>
          <t>m250270</t>
        </is>
      </c>
      <c r="B5" s="3" t="inlineStr">
        <is>
          <t>Sardor Tursunov</t>
        </is>
      </c>
      <c r="C5" s="3" t="inlineStr">
        <is>
          <t>M</t>
        </is>
      </c>
      <c r="D5" s="3" t="inlineStr">
        <is>
          <t>1997-07-09</t>
        </is>
      </c>
      <c r="E5" s="3" t="inlineStr">
        <is>
          <t>AD7057261</t>
        </is>
      </c>
      <c r="F5" s="3" t="inlineStr">
        <is>
          <t>+998 91 671 28 95</t>
        </is>
      </c>
      <c r="G5" s="3" t="inlineStr">
        <is>
          <t>stursunov@university-edu.uz</t>
        </is>
      </c>
      <c r="H5" s="3" t="inlineStr">
        <is>
          <t>m250270</t>
        </is>
      </c>
      <c r="I5" s="3" t="inlineStr">
        <is>
          <t>1rIrKO5j!</t>
        </is>
      </c>
      <c r="J5" s="3" t="inlineStr">
        <is>
          <t>Faculty of Business</t>
        </is>
      </c>
      <c r="K5" s="3" t="inlineStr">
        <is>
          <t>Master of Global Management</t>
        </is>
      </c>
      <c r="L5" s="3" t="inlineStr">
        <is>
          <t>Master</t>
        </is>
      </c>
      <c r="M5" s="3" t="inlineStr">
        <is>
          <t>Spring 2025</t>
        </is>
      </c>
      <c r="N5" s="3" t="inlineStr">
        <is>
          <t>Active</t>
        </is>
      </c>
      <c r="O5" s="3" t="inlineStr">
        <is>
          <t>2026-09-15</t>
        </is>
      </c>
    </row>
    <row r="6">
      <c r="A6" s="3" t="inlineStr">
        <is>
          <t>m250271</t>
        </is>
      </c>
      <c r="B6" s="3" t="inlineStr">
        <is>
          <t>Madina Rakhimova</t>
        </is>
      </c>
      <c r="C6" s="3" t="inlineStr">
        <is>
          <t>F</t>
        </is>
      </c>
      <c r="D6" s="3" t="inlineStr">
        <is>
          <t>2006-01-30</t>
        </is>
      </c>
      <c r="E6" s="3" t="inlineStr">
        <is>
          <t>AC8440094</t>
        </is>
      </c>
      <c r="F6" s="3" t="inlineStr">
        <is>
          <t>+998 99 882 29 43</t>
        </is>
      </c>
      <c r="G6" s="3" t="inlineStr">
        <is>
          <t>mrakhimova@university-edu.uz</t>
        </is>
      </c>
      <c r="H6" s="3" t="inlineStr">
        <is>
          <t>m250271</t>
        </is>
      </c>
      <c r="I6" s="3" t="inlineStr">
        <is>
          <t>GagLBm7j@</t>
        </is>
      </c>
      <c r="J6" s="3" t="inlineStr">
        <is>
          <t>Faculty of Economics &amp; Finance</t>
        </is>
      </c>
      <c r="K6" s="3" t="inlineStr">
        <is>
          <t>Bachelor of Finance</t>
        </is>
      </c>
      <c r="L6" s="3" t="inlineStr">
        <is>
          <t>Bachelor</t>
        </is>
      </c>
      <c r="M6" s="3" t="inlineStr">
        <is>
          <t>Spring 2025</t>
        </is>
      </c>
      <c r="N6" s="3" t="inlineStr">
        <is>
          <t>Active</t>
        </is>
      </c>
      <c r="O6" s="3" t="inlineStr">
        <is>
          <t>2026-09-15</t>
        </is>
      </c>
    </row>
    <row r="7">
      <c r="A7" s="3" t="inlineStr">
        <is>
          <t>m250272</t>
        </is>
      </c>
      <c r="B7" s="3" t="inlineStr">
        <is>
          <t>Otabek Kalandarov</t>
        </is>
      </c>
      <c r="C7" s="3" t="inlineStr">
        <is>
          <t>M</t>
        </is>
      </c>
      <c r="D7" s="3" t="inlineStr">
        <is>
          <t>1998-09-17</t>
        </is>
      </c>
      <c r="E7" s="3" t="inlineStr">
        <is>
          <t>AC5035832</t>
        </is>
      </c>
      <c r="F7" s="3" t="inlineStr">
        <is>
          <t>+998 96 422 96 93</t>
        </is>
      </c>
      <c r="G7" s="3" t="inlineStr">
        <is>
          <t>okalandarov@university-edu.uz</t>
        </is>
      </c>
      <c r="H7" s="3" t="inlineStr">
        <is>
          <t>m250272</t>
        </is>
      </c>
      <c r="I7" s="3" t="inlineStr">
        <is>
          <t>LJoa4WwU%</t>
        </is>
      </c>
      <c r="J7" s="3" t="inlineStr">
        <is>
          <t>Faculty of Computer Science</t>
        </is>
      </c>
      <c r="K7" s="3" t="inlineStr">
        <is>
          <t>Master of Data Science</t>
        </is>
      </c>
      <c r="L7" s="3" t="inlineStr">
        <is>
          <t>Master</t>
        </is>
      </c>
      <c r="M7" s="3" t="inlineStr">
        <is>
          <t>Spring 2025</t>
        </is>
      </c>
      <c r="N7" s="3" t="inlineStr">
        <is>
          <t>Active</t>
        </is>
      </c>
      <c r="O7" s="3" t="inlineStr">
        <is>
          <t>2026-09-15</t>
        </is>
      </c>
    </row>
    <row r="8">
      <c r="A8" s="3" t="inlineStr">
        <is>
          <t>m250273</t>
        </is>
      </c>
      <c r="B8" s="3" t="inlineStr">
        <is>
          <t>Zarina Ismoilova</t>
        </is>
      </c>
      <c r="C8" s="3" t="inlineStr">
        <is>
          <t>F</t>
        </is>
      </c>
      <c r="D8" s="3" t="inlineStr">
        <is>
          <t>2000-04-25</t>
        </is>
      </c>
      <c r="E8" s="3" t="inlineStr">
        <is>
          <t>AD2905648</t>
        </is>
      </c>
      <c r="F8" s="3" t="inlineStr">
        <is>
          <t>+998 95 337 28 73</t>
        </is>
      </c>
      <c r="G8" s="3" t="inlineStr">
        <is>
          <t>zismoilova@university-edu.uz</t>
        </is>
      </c>
      <c r="H8" s="3" t="inlineStr">
        <is>
          <t>m250273</t>
        </is>
      </c>
      <c r="I8" s="3" t="inlineStr">
        <is>
          <t>PlSGOegl#</t>
        </is>
      </c>
      <c r="J8" s="3" t="inlineStr">
        <is>
          <t>Faculty of Social Sciences</t>
        </is>
      </c>
      <c r="K8" s="3" t="inlineStr">
        <is>
          <t>Master of International Relations</t>
        </is>
      </c>
      <c r="L8" s="3" t="inlineStr">
        <is>
          <t>Master</t>
        </is>
      </c>
      <c r="M8" s="3" t="inlineStr">
        <is>
          <t>Spring 2025</t>
        </is>
      </c>
      <c r="N8" s="3" t="inlineStr">
        <is>
          <t>Active</t>
        </is>
      </c>
      <c r="O8" s="3" t="inlineStr">
        <is>
          <t>2026-09-15</t>
        </is>
      </c>
    </row>
    <row r="9">
      <c r="A9" s="3" t="inlineStr">
        <is>
          <t>m250274</t>
        </is>
      </c>
      <c r="B9" s="3" t="inlineStr">
        <is>
          <t>Jamshidbek Mirzayev</t>
        </is>
      </c>
      <c r="C9" s="3" t="inlineStr">
        <is>
          <t>M</t>
        </is>
      </c>
      <c r="D9" s="3" t="inlineStr">
        <is>
          <t>2005-12-12</t>
        </is>
      </c>
      <c r="E9" s="3" t="inlineStr">
        <is>
          <t>AD8265047</t>
        </is>
      </c>
      <c r="F9" s="3" t="inlineStr">
        <is>
          <t>+998 94 675 44 95</t>
        </is>
      </c>
      <c r="G9" s="3" t="inlineStr">
        <is>
          <t>jmirzayev@university-edu.uz</t>
        </is>
      </c>
      <c r="H9" s="3" t="inlineStr">
        <is>
          <t>m250274</t>
        </is>
      </c>
      <c r="I9" s="3" t="inlineStr">
        <is>
          <t>um5rDO5O!</t>
        </is>
      </c>
      <c r="J9" s="3" t="inlineStr">
        <is>
          <t>Faculty of Engineering</t>
        </is>
      </c>
      <c r="K9" s="3" t="inlineStr">
        <is>
          <t>Bachelor of Civil Engineering</t>
        </is>
      </c>
      <c r="L9" s="3" t="inlineStr">
        <is>
          <t>Bachelor</t>
        </is>
      </c>
      <c r="M9" s="3" t="inlineStr">
        <is>
          <t>Spring 2025</t>
        </is>
      </c>
      <c r="N9" s="3" t="inlineStr">
        <is>
          <t>Active</t>
        </is>
      </c>
      <c r="O9" s="3" t="inlineStr">
        <is>
          <t>2026-09-15</t>
        </is>
      </c>
    </row>
    <row r="10">
      <c r="A10" s="3" t="inlineStr">
        <is>
          <t>m250275</t>
        </is>
      </c>
      <c r="B10" s="3" t="inlineStr">
        <is>
          <t>Nigina Khasanova</t>
        </is>
      </c>
      <c r="C10" s="3" t="inlineStr">
        <is>
          <t>F</t>
        </is>
      </c>
      <c r="D10" s="3" t="inlineStr">
        <is>
          <t>2006-08-03</t>
        </is>
      </c>
      <c r="E10" s="3" t="inlineStr">
        <is>
          <t>AC2677622</t>
        </is>
      </c>
      <c r="F10" s="3" t="inlineStr">
        <is>
          <t>+998 98 537 72 79</t>
        </is>
      </c>
      <c r="G10" s="3" t="inlineStr">
        <is>
          <t>nkhasanova@university-edu.uz</t>
        </is>
      </c>
      <c r="H10" s="3" t="inlineStr">
        <is>
          <t>m250275</t>
        </is>
      </c>
      <c r="I10" s="3" t="inlineStr">
        <is>
          <t>x5fqhvTx%</t>
        </is>
      </c>
      <c r="J10" s="3" t="inlineStr">
        <is>
          <t>Faculty of Arts &amp; Design</t>
        </is>
      </c>
      <c r="K10" s="3" t="inlineStr">
        <is>
          <t>Bachelor of Graphic Design</t>
        </is>
      </c>
      <c r="L10" s="3" t="inlineStr">
        <is>
          <t>Bachelor</t>
        </is>
      </c>
      <c r="M10" s="3" t="inlineStr">
        <is>
          <t>Spring 2025</t>
        </is>
      </c>
      <c r="N10" s="3" t="inlineStr">
        <is>
          <t>Active</t>
        </is>
      </c>
      <c r="O10" s="3" t="inlineStr">
        <is>
          <t>2026-09-15</t>
        </is>
      </c>
    </row>
    <row r="11">
      <c r="A11" s="3" t="inlineStr">
        <is>
          <t>m250276</t>
        </is>
      </c>
      <c r="B11" s="3" t="inlineStr">
        <is>
          <t>Bekzod Akhmedov</t>
        </is>
      </c>
      <c r="C11" s="3" t="inlineStr">
        <is>
          <t>M</t>
        </is>
      </c>
      <c r="D11" s="3" t="inlineStr">
        <is>
          <t>2005-10-19</t>
        </is>
      </c>
      <c r="E11" s="3" t="inlineStr">
        <is>
          <t>AE6106208</t>
        </is>
      </c>
      <c r="F11" s="3" t="inlineStr">
        <is>
          <t>+998 94 772 65 14</t>
        </is>
      </c>
      <c r="G11" s="3" t="inlineStr">
        <is>
          <t>bakhmedov@university-edu.uz</t>
        </is>
      </c>
      <c r="H11" s="3" t="inlineStr">
        <is>
          <t>m250276</t>
        </is>
      </c>
      <c r="I11" s="3" t="inlineStr">
        <is>
          <t>k2Ux5IvM#</t>
        </is>
      </c>
      <c r="J11" s="3" t="inlineStr">
        <is>
          <t>Faculty of Economics &amp; Finance</t>
        </is>
      </c>
      <c r="K11" s="3" t="inlineStr">
        <is>
          <t>Bachelor of Finance</t>
        </is>
      </c>
      <c r="L11" s="3" t="inlineStr">
        <is>
          <t>Bachelor</t>
        </is>
      </c>
      <c r="M11" s="3" t="inlineStr">
        <is>
          <t>Spring 2025</t>
        </is>
      </c>
      <c r="N11" s="3" t="inlineStr">
        <is>
          <t>Active</t>
        </is>
      </c>
      <c r="O11" s="3" t="inlineStr">
        <is>
          <t>2026-09-15</t>
        </is>
      </c>
    </row>
    <row r="12">
      <c r="A12" s="3" t="inlineStr">
        <is>
          <t>m250277</t>
        </is>
      </c>
      <c r="B12" s="3" t="inlineStr">
        <is>
          <t>Dilshoda Matyakubova</t>
        </is>
      </c>
      <c r="C12" s="3" t="inlineStr">
        <is>
          <t>F</t>
        </is>
      </c>
      <c r="D12" s="3" t="inlineStr">
        <is>
          <t>1999-02-08</t>
        </is>
      </c>
      <c r="E12" s="3" t="inlineStr">
        <is>
          <t>AD5003591</t>
        </is>
      </c>
      <c r="F12" s="3" t="inlineStr">
        <is>
          <t>+998 90 528 77 80</t>
        </is>
      </c>
      <c r="G12" s="3" t="inlineStr">
        <is>
          <t>dmatyakubova@university-edu.uz</t>
        </is>
      </c>
      <c r="H12" s="3" t="inlineStr">
        <is>
          <t>m250277</t>
        </is>
      </c>
      <c r="I12" s="3" t="inlineStr">
        <is>
          <t>iyPOTnnc%</t>
        </is>
      </c>
      <c r="J12" s="3" t="inlineStr">
        <is>
          <t>Faculty of Social Sciences</t>
        </is>
      </c>
      <c r="K12" s="3" t="inlineStr">
        <is>
          <t>Master of International Relations</t>
        </is>
      </c>
      <c r="L12" s="3" t="inlineStr">
        <is>
          <t>Master</t>
        </is>
      </c>
      <c r="M12" s="3" t="inlineStr">
        <is>
          <t>Spring 2025</t>
        </is>
      </c>
      <c r="N12" s="3" t="inlineStr">
        <is>
          <t>Active</t>
        </is>
      </c>
      <c r="O12" s="3" t="inlineStr">
        <is>
          <t>2026-09-15</t>
        </is>
      </c>
    </row>
    <row r="13">
      <c r="A13" s="3" t="inlineStr">
        <is>
          <t>m250278</t>
        </is>
      </c>
      <c r="B13" s="3" t="inlineStr">
        <is>
          <t>Javohir Saidov</t>
        </is>
      </c>
      <c r="C13" s="3" t="inlineStr">
        <is>
          <t>M</t>
        </is>
      </c>
      <c r="D13" s="3" t="inlineStr">
        <is>
          <t>2006-06-27</t>
        </is>
      </c>
      <c r="E13" s="3" t="inlineStr">
        <is>
          <t>AC1162802</t>
        </is>
      </c>
      <c r="F13" s="3" t="inlineStr">
        <is>
          <t>+998 92 319 29 72</t>
        </is>
      </c>
      <c r="G13" s="3" t="inlineStr">
        <is>
          <t>jsaidov@university-edu.uz</t>
        </is>
      </c>
      <c r="H13" s="3" t="inlineStr">
        <is>
          <t>m250278</t>
        </is>
      </c>
      <c r="I13" s="3" t="inlineStr">
        <is>
          <t>W5NL8jgJ!</t>
        </is>
      </c>
      <c r="J13" s="3" t="inlineStr">
        <is>
          <t>Faculty of Computer Science</t>
        </is>
      </c>
      <c r="K13" s="3" t="inlineStr">
        <is>
          <t>Bachelor of Software Engineering</t>
        </is>
      </c>
      <c r="L13" s="3" t="inlineStr">
        <is>
          <t>Bachelor</t>
        </is>
      </c>
      <c r="M13" s="3" t="inlineStr">
        <is>
          <t>Spring 2025</t>
        </is>
      </c>
      <c r="N13" s="3" t="inlineStr">
        <is>
          <t>Active</t>
        </is>
      </c>
      <c r="O13" s="3" t="inlineStr">
        <is>
          <t>2026-09-15</t>
        </is>
      </c>
    </row>
  </sheetData>
  <autoFilter ref="A1:O13"/>
  <dataValidations count="1">
    <dataValidation sqref="N2:N200" showDropDown="0" showInputMessage="0" showErrorMessage="0" allowBlank="1" type="list">
      <formula1>"Active,On leave,Graduated,Withdrawn"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2" customWidth="1" min="2" max="2"/>
    <col width="12" customWidth="1" min="3" max="3"/>
    <col width="36" customWidth="1" min="4" max="4"/>
    <col width="10" customWidth="1" min="5" max="5"/>
  </cols>
  <sheetData>
    <row r="1" ht="30" customHeight="1">
      <c r="A1" s="2" t="inlineStr">
        <is>
          <t>Course Code</t>
        </is>
      </c>
      <c r="B1" s="2" t="inlineStr">
        <is>
          <t>Course Title</t>
        </is>
      </c>
      <c r="C1" s="2" t="inlineStr">
        <is>
          <t>ECTS Credits</t>
        </is>
      </c>
      <c r="D1" s="2" t="inlineStr">
        <is>
          <t>Program</t>
        </is>
      </c>
      <c r="E1" s="2" t="inlineStr">
        <is>
          <t>Semester</t>
        </is>
      </c>
    </row>
    <row r="2">
      <c r="A2" s="3" t="inlineStr">
        <is>
          <t>TAM 530</t>
        </is>
      </c>
      <c r="B2" s="3" t="inlineStr">
        <is>
          <t>Data Analytics and Digital Transformation in a Global World</t>
        </is>
      </c>
      <c r="C2" s="3" t="n">
        <v>6</v>
      </c>
      <c r="D2" s="3" t="inlineStr">
        <is>
          <t>Master of Global Management</t>
        </is>
      </c>
      <c r="E2" s="3" t="n">
        <v>1</v>
      </c>
    </row>
    <row r="3">
      <c r="A3" s="3" t="inlineStr">
        <is>
          <t>TGM 586</t>
        </is>
      </c>
      <c r="B3" s="3" t="inlineStr">
        <is>
          <t>Global Entrepreneurship and Sustainable Business</t>
        </is>
      </c>
      <c r="C3" s="3" t="n">
        <v>6</v>
      </c>
      <c r="D3" s="3" t="inlineStr">
        <is>
          <t>Master of Global Management</t>
        </is>
      </c>
      <c r="E3" s="3" t="n">
        <v>1</v>
      </c>
    </row>
    <row r="4">
      <c r="A4" s="3" t="inlineStr">
        <is>
          <t>TAM 557</t>
        </is>
      </c>
      <c r="B4" s="3" t="inlineStr">
        <is>
          <t>Global Marketing in a Digital Age</t>
        </is>
      </c>
      <c r="C4" s="3" t="n">
        <v>6</v>
      </c>
      <c r="D4" s="3" t="inlineStr">
        <is>
          <t>Master of Global Management</t>
        </is>
      </c>
      <c r="E4" s="3" t="n">
        <v>1</v>
      </c>
    </row>
    <row r="5">
      <c r="A5" s="3" t="inlineStr">
        <is>
          <t>TAM 542</t>
        </is>
      </c>
      <c r="B5" s="3" t="inlineStr">
        <is>
          <t>Global Leadership and Personal Development</t>
        </is>
      </c>
      <c r="C5" s="3" t="n">
        <v>6</v>
      </c>
      <c r="D5" s="3" t="inlineStr">
        <is>
          <t>Master of Global Management</t>
        </is>
      </c>
      <c r="E5" s="3" t="n">
        <v>1</v>
      </c>
    </row>
    <row r="6">
      <c r="A6" s="3" t="inlineStr">
        <is>
          <t>TAM 511</t>
        </is>
      </c>
      <c r="B6" s="3" t="inlineStr">
        <is>
          <t>Global Accounting: Managing with Numbers</t>
        </is>
      </c>
      <c r="C6" s="3" t="n">
        <v>6</v>
      </c>
      <c r="D6" s="3" t="inlineStr">
        <is>
          <t>Master of Global Management</t>
        </is>
      </c>
      <c r="E6" s="3" t="n">
        <v>1</v>
      </c>
    </row>
    <row r="7">
      <c r="A7" s="3" t="inlineStr">
        <is>
          <t>IAL 503</t>
        </is>
      </c>
      <c r="B7" s="3" t="inlineStr">
        <is>
          <t>Applied International Leadership</t>
        </is>
      </c>
      <c r="C7" s="3" t="n">
        <v>6</v>
      </c>
      <c r="D7" s="3" t="inlineStr">
        <is>
          <t>Master of Global Management</t>
        </is>
      </c>
      <c r="E7" s="3" t="n">
        <v>2</v>
      </c>
    </row>
    <row r="8">
      <c r="A8" s="3" t="inlineStr">
        <is>
          <t>FIN 560</t>
        </is>
      </c>
      <c r="B8" s="3" t="inlineStr">
        <is>
          <t>International Finance</t>
        </is>
      </c>
      <c r="C8" s="3" t="n">
        <v>6</v>
      </c>
      <c r="D8" s="3" t="inlineStr">
        <is>
          <t>Master of Global Management</t>
        </is>
      </c>
      <c r="E8" s="3" t="n">
        <v>2</v>
      </c>
    </row>
    <row r="9">
      <c r="A9" s="3" t="inlineStr">
        <is>
          <t>TGM 551</t>
        </is>
      </c>
      <c r="B9" s="3" t="inlineStr">
        <is>
          <t>Global Marketing Strategy</t>
        </is>
      </c>
      <c r="C9" s="3" t="n">
        <v>6</v>
      </c>
      <c r="D9" s="3" t="inlineStr">
        <is>
          <t>Master of Global Management</t>
        </is>
      </c>
      <c r="E9" s="3" t="n">
        <v>2</v>
      </c>
    </row>
    <row r="10">
      <c r="A10" s="3" t="inlineStr">
        <is>
          <t>TAM 505</t>
        </is>
      </c>
      <c r="B10" s="3" t="inlineStr">
        <is>
          <t>Navigating Global and Regional Business Environments</t>
        </is>
      </c>
      <c r="C10" s="3" t="n">
        <v>6</v>
      </c>
      <c r="D10" s="3" t="inlineStr">
        <is>
          <t>Master of Global Management</t>
        </is>
      </c>
      <c r="E10" s="3" t="n">
        <v>2</v>
      </c>
    </row>
    <row r="11">
      <c r="A11" s="3" t="inlineStr">
        <is>
          <t>TGM 507</t>
        </is>
      </c>
      <c r="B11" s="3" t="inlineStr">
        <is>
          <t>Global Organizational Consulting</t>
        </is>
      </c>
      <c r="C11" s="3" t="n">
        <v>6</v>
      </c>
      <c r="D11" s="3" t="inlineStr">
        <is>
          <t>Master of Global Management</t>
        </is>
      </c>
      <c r="E11" s="3" t="n">
        <v>2</v>
      </c>
    </row>
    <row r="12">
      <c r="A12" s="3" t="inlineStr">
        <is>
          <t>TGM 610</t>
        </is>
      </c>
      <c r="B12" s="3" t="inlineStr">
        <is>
          <t>Cross-Cultural Negotiation</t>
        </is>
      </c>
      <c r="C12" s="3" t="n">
        <v>6</v>
      </c>
      <c r="D12" s="3" t="inlineStr">
        <is>
          <t>Master of Global Management</t>
        </is>
      </c>
      <c r="E12" s="3" t="n">
        <v>3</v>
      </c>
    </row>
    <row r="13">
      <c r="A13" s="3" t="inlineStr">
        <is>
          <t>TGM 622</t>
        </is>
      </c>
      <c r="B13" s="3" t="inlineStr">
        <is>
          <t>Global Supply Chain Management</t>
        </is>
      </c>
      <c r="C13" s="3" t="n">
        <v>6</v>
      </c>
      <c r="D13" s="3" t="inlineStr">
        <is>
          <t>Master of Global Management</t>
        </is>
      </c>
      <c r="E13" s="3" t="n">
        <v>3</v>
      </c>
    </row>
    <row r="14">
      <c r="A14" s="3" t="inlineStr">
        <is>
          <t>TAM 615</t>
        </is>
      </c>
      <c r="B14" s="3" t="inlineStr">
        <is>
          <t>Strategic Management in Emerging Markets</t>
        </is>
      </c>
      <c r="C14" s="3" t="n">
        <v>6</v>
      </c>
      <c r="D14" s="3" t="inlineStr">
        <is>
          <t>Master of Global Management</t>
        </is>
      </c>
      <c r="E14" s="3" t="n">
        <v>3</v>
      </c>
    </row>
    <row r="15">
      <c r="A15" s="3" t="inlineStr">
        <is>
          <t>TGM 630</t>
        </is>
      </c>
      <c r="B15" s="3" t="inlineStr">
        <is>
          <t>Corporate Governance and Ethics</t>
        </is>
      </c>
      <c r="C15" s="3" t="n">
        <v>6</v>
      </c>
      <c r="D15" s="3" t="inlineStr">
        <is>
          <t>Master of Global Management</t>
        </is>
      </c>
      <c r="E15" s="3" t="n">
        <v>3</v>
      </c>
    </row>
    <row r="16">
      <c r="A16" s="3" t="inlineStr">
        <is>
          <t>TGM 690</t>
        </is>
      </c>
      <c r="B16" s="3" t="inlineStr">
        <is>
          <t>Capstone: Global Management Project</t>
        </is>
      </c>
      <c r="C16" s="3" t="n">
        <v>6</v>
      </c>
      <c r="D16" s="3" t="inlineStr">
        <is>
          <t>Master of Global Management</t>
        </is>
      </c>
      <c r="E16" s="3" t="n">
        <v>3</v>
      </c>
    </row>
    <row r="17">
      <c r="A17" s="3" t="inlineStr">
        <is>
          <t>CSE 101</t>
        </is>
      </c>
      <c r="B17" s="3" t="inlineStr">
        <is>
          <t>Introduction to Programming</t>
        </is>
      </c>
      <c r="C17" s="3" t="n">
        <v>6</v>
      </c>
      <c r="D17" s="3" t="inlineStr">
        <is>
          <t>Bachelor of Software Engineering</t>
        </is>
      </c>
      <c r="E17" s="3" t="n">
        <v>1</v>
      </c>
    </row>
    <row r="18">
      <c r="A18" s="3" t="inlineStr">
        <is>
          <t>MTH 110</t>
        </is>
      </c>
      <c r="B18" s="3" t="inlineStr">
        <is>
          <t>Discrete Mathematics</t>
        </is>
      </c>
      <c r="C18" s="3" t="n">
        <v>6</v>
      </c>
      <c r="D18" s="3" t="inlineStr">
        <is>
          <t>Bachelor of Software Engineering</t>
        </is>
      </c>
      <c r="E18" s="3" t="n">
        <v>1</v>
      </c>
    </row>
    <row r="19">
      <c r="A19" s="3" t="inlineStr">
        <is>
          <t>CSE 120</t>
        </is>
      </c>
      <c r="B19" s="3" t="inlineStr">
        <is>
          <t>Computer Systems Fundamentals</t>
        </is>
      </c>
      <c r="C19" s="3" t="n">
        <v>6</v>
      </c>
      <c r="D19" s="3" t="inlineStr">
        <is>
          <t>Bachelor of Software Engineering</t>
        </is>
      </c>
      <c r="E19" s="3" t="n">
        <v>1</v>
      </c>
    </row>
    <row r="20">
      <c r="A20" s="3" t="inlineStr">
        <is>
          <t>ENG 101</t>
        </is>
      </c>
      <c r="B20" s="3" t="inlineStr">
        <is>
          <t>Academic English I</t>
        </is>
      </c>
      <c r="C20" s="3" t="n">
        <v>6</v>
      </c>
      <c r="D20" s="3" t="inlineStr">
        <is>
          <t>Bachelor of Software Engineering</t>
        </is>
      </c>
      <c r="E20" s="3" t="n">
        <v>1</v>
      </c>
    </row>
    <row r="21">
      <c r="A21" s="3" t="inlineStr">
        <is>
          <t>MTH 120</t>
        </is>
      </c>
      <c r="B21" s="3" t="inlineStr">
        <is>
          <t>Calculus I</t>
        </is>
      </c>
      <c r="C21" s="3" t="n">
        <v>6</v>
      </c>
      <c r="D21" s="3" t="inlineStr">
        <is>
          <t>Bachelor of Software Engineering</t>
        </is>
      </c>
      <c r="E21" s="3" t="n">
        <v>1</v>
      </c>
    </row>
    <row r="22">
      <c r="A22" s="3" t="inlineStr">
        <is>
          <t>CSE 150</t>
        </is>
      </c>
      <c r="B22" s="3" t="inlineStr">
        <is>
          <t>Object-Oriented Programming</t>
        </is>
      </c>
      <c r="C22" s="3" t="n">
        <v>6</v>
      </c>
      <c r="D22" s="3" t="inlineStr">
        <is>
          <t>Bachelor of Software Engineering</t>
        </is>
      </c>
      <c r="E22" s="3" t="n">
        <v>2</v>
      </c>
    </row>
    <row r="23">
      <c r="A23" s="3" t="inlineStr">
        <is>
          <t>CSE 160</t>
        </is>
      </c>
      <c r="B23" s="3" t="inlineStr">
        <is>
          <t>Data Structures</t>
        </is>
      </c>
      <c r="C23" s="3" t="n">
        <v>6</v>
      </c>
      <c r="D23" s="3" t="inlineStr">
        <is>
          <t>Bachelor of Software Engineering</t>
        </is>
      </c>
      <c r="E23" s="3" t="n">
        <v>2</v>
      </c>
    </row>
    <row r="24">
      <c r="A24" s="3" t="inlineStr">
        <is>
          <t>CSE 170</t>
        </is>
      </c>
      <c r="B24" s="3" t="inlineStr">
        <is>
          <t>Web Development Basics</t>
        </is>
      </c>
      <c r="C24" s="3" t="n">
        <v>6</v>
      </c>
      <c r="D24" s="3" t="inlineStr">
        <is>
          <t>Bachelor of Software Engineering</t>
        </is>
      </c>
      <c r="E24" s="3" t="n">
        <v>2</v>
      </c>
    </row>
    <row r="25">
      <c r="A25" s="3" t="inlineStr">
        <is>
          <t>ENG 102</t>
        </is>
      </c>
      <c r="B25" s="3" t="inlineStr">
        <is>
          <t>Academic English II</t>
        </is>
      </c>
      <c r="C25" s="3" t="n">
        <v>6</v>
      </c>
      <c r="D25" s="3" t="inlineStr">
        <is>
          <t>Bachelor of Software Engineering</t>
        </is>
      </c>
      <c r="E25" s="3" t="n">
        <v>2</v>
      </c>
    </row>
    <row r="26">
      <c r="A26" s="3" t="inlineStr">
        <is>
          <t>MTH 130</t>
        </is>
      </c>
      <c r="B26" s="3" t="inlineStr">
        <is>
          <t>Linear Algebra</t>
        </is>
      </c>
      <c r="C26" s="3" t="n">
        <v>6</v>
      </c>
      <c r="D26" s="3" t="inlineStr">
        <is>
          <t>Bachelor of Software Engineering</t>
        </is>
      </c>
      <c r="E26" s="3" t="n">
        <v>2</v>
      </c>
    </row>
    <row r="27">
      <c r="A27" s="3" t="inlineStr">
        <is>
          <t>CSE 210</t>
        </is>
      </c>
      <c r="B27" s="3" t="inlineStr">
        <is>
          <t>Algorithms</t>
        </is>
      </c>
      <c r="C27" s="3" t="n">
        <v>6</v>
      </c>
      <c r="D27" s="3" t="inlineStr">
        <is>
          <t>Bachelor of Software Engineering</t>
        </is>
      </c>
      <c r="E27" s="3" t="n">
        <v>3</v>
      </c>
    </row>
    <row r="28">
      <c r="A28" s="3" t="inlineStr">
        <is>
          <t>CSE 220</t>
        </is>
      </c>
      <c r="B28" s="3" t="inlineStr">
        <is>
          <t>Databases</t>
        </is>
      </c>
      <c r="C28" s="3" t="n">
        <v>6</v>
      </c>
      <c r="D28" s="3" t="inlineStr">
        <is>
          <t>Bachelor of Software Engineering</t>
        </is>
      </c>
      <c r="E28" s="3" t="n">
        <v>3</v>
      </c>
    </row>
    <row r="29">
      <c r="A29" s="3" t="inlineStr">
        <is>
          <t>CSE 230</t>
        </is>
      </c>
      <c r="B29" s="3" t="inlineStr">
        <is>
          <t>Software Requirements Engineering</t>
        </is>
      </c>
      <c r="C29" s="3" t="n">
        <v>6</v>
      </c>
      <c r="D29" s="3" t="inlineStr">
        <is>
          <t>Bachelor of Software Engineering</t>
        </is>
      </c>
      <c r="E29" s="3" t="n">
        <v>3</v>
      </c>
    </row>
    <row r="30">
      <c r="A30" s="3" t="inlineStr">
        <is>
          <t>CSE 240</t>
        </is>
      </c>
      <c r="B30" s="3" t="inlineStr">
        <is>
          <t>Operating Systems</t>
        </is>
      </c>
      <c r="C30" s="3" t="n">
        <v>6</v>
      </c>
      <c r="D30" s="3" t="inlineStr">
        <is>
          <t>Bachelor of Software Engineering</t>
        </is>
      </c>
      <c r="E30" s="3" t="n">
        <v>3</v>
      </c>
    </row>
    <row r="31">
      <c r="A31" s="3" t="inlineStr">
        <is>
          <t>STA 201</t>
        </is>
      </c>
      <c r="B31" s="3" t="inlineStr">
        <is>
          <t>Probability and Statistics</t>
        </is>
      </c>
      <c r="C31" s="3" t="n">
        <v>6</v>
      </c>
      <c r="D31" s="3" t="inlineStr">
        <is>
          <t>Bachelor of Software Engineering</t>
        </is>
      </c>
      <c r="E31" s="3" t="n">
        <v>3</v>
      </c>
    </row>
    <row r="32">
      <c r="A32" s="3" t="inlineStr">
        <is>
          <t>DSC 501</t>
        </is>
      </c>
      <c r="B32" s="3" t="inlineStr">
        <is>
          <t>Foundations of Data Science</t>
        </is>
      </c>
      <c r="C32" s="3" t="n">
        <v>6</v>
      </c>
      <c r="D32" s="3" t="inlineStr">
        <is>
          <t>Master of Data Science</t>
        </is>
      </c>
      <c r="E32" s="3" t="n">
        <v>1</v>
      </c>
    </row>
    <row r="33">
      <c r="A33" s="3" t="inlineStr">
        <is>
          <t>DSC 510</t>
        </is>
      </c>
      <c r="B33" s="3" t="inlineStr">
        <is>
          <t>Statistical Inference</t>
        </is>
      </c>
      <c r="C33" s="3" t="n">
        <v>6</v>
      </c>
      <c r="D33" s="3" t="inlineStr">
        <is>
          <t>Master of Data Science</t>
        </is>
      </c>
      <c r="E33" s="3" t="n">
        <v>1</v>
      </c>
    </row>
    <row r="34">
      <c r="A34" s="3" t="inlineStr">
        <is>
          <t>DSC 520</t>
        </is>
      </c>
      <c r="B34" s="3" t="inlineStr">
        <is>
          <t>Programming for Data Science (Python)</t>
        </is>
      </c>
      <c r="C34" s="3" t="n">
        <v>6</v>
      </c>
      <c r="D34" s="3" t="inlineStr">
        <is>
          <t>Master of Data Science</t>
        </is>
      </c>
      <c r="E34" s="3" t="n">
        <v>1</v>
      </c>
    </row>
    <row r="35">
      <c r="A35" s="3" t="inlineStr">
        <is>
          <t>DSC 530</t>
        </is>
      </c>
      <c r="B35" s="3" t="inlineStr">
        <is>
          <t>Data Management and SQL</t>
        </is>
      </c>
      <c r="C35" s="3" t="n">
        <v>6</v>
      </c>
      <c r="D35" s="3" t="inlineStr">
        <is>
          <t>Master of Data Science</t>
        </is>
      </c>
      <c r="E35" s="3" t="n">
        <v>1</v>
      </c>
    </row>
    <row r="36">
      <c r="A36" s="3" t="inlineStr">
        <is>
          <t>DSC 540</t>
        </is>
      </c>
      <c r="B36" s="3" t="inlineStr">
        <is>
          <t>Linear Algebra for Machine Learning</t>
        </is>
      </c>
      <c r="C36" s="3" t="n">
        <v>6</v>
      </c>
      <c r="D36" s="3" t="inlineStr">
        <is>
          <t>Master of Data Science</t>
        </is>
      </c>
      <c r="E36" s="3" t="n">
        <v>1</v>
      </c>
    </row>
    <row r="37">
      <c r="A37" s="3" t="inlineStr">
        <is>
          <t>DSC 550</t>
        </is>
      </c>
      <c r="B37" s="3" t="inlineStr">
        <is>
          <t>Machine Learning</t>
        </is>
      </c>
      <c r="C37" s="3" t="n">
        <v>6</v>
      </c>
      <c r="D37" s="3" t="inlineStr">
        <is>
          <t>Master of Data Science</t>
        </is>
      </c>
      <c r="E37" s="3" t="n">
        <v>2</v>
      </c>
    </row>
    <row r="38">
      <c r="A38" s="3" t="inlineStr">
        <is>
          <t>DSC 560</t>
        </is>
      </c>
      <c r="B38" s="3" t="inlineStr">
        <is>
          <t>Data Visualization</t>
        </is>
      </c>
      <c r="C38" s="3" t="n">
        <v>6</v>
      </c>
      <c r="D38" s="3" t="inlineStr">
        <is>
          <t>Master of Data Science</t>
        </is>
      </c>
      <c r="E38" s="3" t="n">
        <v>2</v>
      </c>
    </row>
    <row r="39">
      <c r="A39" s="3" t="inlineStr">
        <is>
          <t>DSC 570</t>
        </is>
      </c>
      <c r="B39" s="3" t="inlineStr">
        <is>
          <t>Big Data Platforms</t>
        </is>
      </c>
      <c r="C39" s="3" t="n">
        <v>6</v>
      </c>
      <c r="D39" s="3" t="inlineStr">
        <is>
          <t>Master of Data Science</t>
        </is>
      </c>
      <c r="E39" s="3" t="n">
        <v>2</v>
      </c>
    </row>
    <row r="40">
      <c r="A40" s="3" t="inlineStr">
        <is>
          <t>DSC 580</t>
        </is>
      </c>
      <c r="B40" s="3" t="inlineStr">
        <is>
          <t>Optimization Methods</t>
        </is>
      </c>
      <c r="C40" s="3" t="n">
        <v>6</v>
      </c>
      <c r="D40" s="3" t="inlineStr">
        <is>
          <t>Master of Data Science</t>
        </is>
      </c>
      <c r="E40" s="3" t="n">
        <v>2</v>
      </c>
    </row>
    <row r="41">
      <c r="A41" s="3" t="inlineStr">
        <is>
          <t>DSC 590</t>
        </is>
      </c>
      <c r="B41" s="3" t="inlineStr">
        <is>
          <t>Research Methods</t>
        </is>
      </c>
      <c r="C41" s="3" t="n">
        <v>6</v>
      </c>
      <c r="D41" s="3" t="inlineStr">
        <is>
          <t>Master of Data Science</t>
        </is>
      </c>
      <c r="E41" s="3" t="n">
        <v>2</v>
      </c>
    </row>
    <row r="42">
      <c r="A42" s="3" t="inlineStr">
        <is>
          <t>DSC 610</t>
        </is>
      </c>
      <c r="B42" s="3" t="inlineStr">
        <is>
          <t>Deep Learning</t>
        </is>
      </c>
      <c r="C42" s="3" t="n">
        <v>6</v>
      </c>
      <c r="D42" s="3" t="inlineStr">
        <is>
          <t>Master of Data Science</t>
        </is>
      </c>
      <c r="E42" s="3" t="n">
        <v>3</v>
      </c>
    </row>
    <row r="43">
      <c r="A43" s="3" t="inlineStr">
        <is>
          <t>DSC 620</t>
        </is>
      </c>
      <c r="B43" s="3" t="inlineStr">
        <is>
          <t>Natural Language Processing</t>
        </is>
      </c>
      <c r="C43" s="3" t="n">
        <v>6</v>
      </c>
      <c r="D43" s="3" t="inlineStr">
        <is>
          <t>Master of Data Science</t>
        </is>
      </c>
      <c r="E43" s="3" t="n">
        <v>3</v>
      </c>
    </row>
    <row r="44">
      <c r="A44" s="3" t="inlineStr">
        <is>
          <t>DSC 630</t>
        </is>
      </c>
      <c r="B44" s="3" t="inlineStr">
        <is>
          <t>Time Series Analysis</t>
        </is>
      </c>
      <c r="C44" s="3" t="n">
        <v>6</v>
      </c>
      <c r="D44" s="3" t="inlineStr">
        <is>
          <t>Master of Data Science</t>
        </is>
      </c>
      <c r="E44" s="3" t="n">
        <v>3</v>
      </c>
    </row>
    <row r="45">
      <c r="A45" s="3" t="inlineStr">
        <is>
          <t>DSC 640</t>
        </is>
      </c>
      <c r="B45" s="3" t="inlineStr">
        <is>
          <t>Data Ethics and Privacy</t>
        </is>
      </c>
      <c r="C45" s="3" t="n">
        <v>6</v>
      </c>
      <c r="D45" s="3" t="inlineStr">
        <is>
          <t>Master of Data Science</t>
        </is>
      </c>
      <c r="E45" s="3" t="n">
        <v>3</v>
      </c>
    </row>
    <row r="46">
      <c r="A46" s="3" t="inlineStr">
        <is>
          <t>DSC 690</t>
        </is>
      </c>
      <c r="B46" s="3" t="inlineStr">
        <is>
          <t>Capstone Project in Data Science</t>
        </is>
      </c>
      <c r="C46" s="3" t="n">
        <v>6</v>
      </c>
      <c r="D46" s="3" t="inlineStr">
        <is>
          <t>Master of Data Science</t>
        </is>
      </c>
      <c r="E46" s="3" t="n">
        <v>3</v>
      </c>
    </row>
    <row r="47">
      <c r="A47" s="3" t="inlineStr">
        <is>
          <t>ECO 101</t>
        </is>
      </c>
      <c r="B47" s="3" t="inlineStr">
        <is>
          <t>Principles of Microeconomics</t>
        </is>
      </c>
      <c r="C47" s="3" t="n">
        <v>6</v>
      </c>
      <c r="D47" s="3" t="inlineStr">
        <is>
          <t>Bachelor of Finance</t>
        </is>
      </c>
      <c r="E47" s="3" t="n">
        <v>1</v>
      </c>
    </row>
    <row r="48">
      <c r="A48" s="3" t="inlineStr">
        <is>
          <t>ACC 101</t>
        </is>
      </c>
      <c r="B48" s="3" t="inlineStr">
        <is>
          <t>Financial Accounting</t>
        </is>
      </c>
      <c r="C48" s="3" t="n">
        <v>6</v>
      </c>
      <c r="D48" s="3" t="inlineStr">
        <is>
          <t>Bachelor of Finance</t>
        </is>
      </c>
      <c r="E48" s="3" t="n">
        <v>1</v>
      </c>
    </row>
    <row r="49">
      <c r="A49" s="3" t="inlineStr">
        <is>
          <t>MTH 105</t>
        </is>
      </c>
      <c r="B49" s="3" t="inlineStr">
        <is>
          <t>Business Mathematics</t>
        </is>
      </c>
      <c r="C49" s="3" t="n">
        <v>6</v>
      </c>
      <c r="D49" s="3" t="inlineStr">
        <is>
          <t>Bachelor of Finance</t>
        </is>
      </c>
      <c r="E49" s="3" t="n">
        <v>1</v>
      </c>
    </row>
    <row r="50">
      <c r="A50" s="3" t="inlineStr">
        <is>
          <t>FIN 100</t>
        </is>
      </c>
      <c r="B50" s="3" t="inlineStr">
        <is>
          <t>Introduction to Finance</t>
        </is>
      </c>
      <c r="C50" s="3" t="n">
        <v>6</v>
      </c>
      <c r="D50" s="3" t="inlineStr">
        <is>
          <t>Bachelor of Finance</t>
        </is>
      </c>
      <c r="E50" s="3" t="n">
        <v>1</v>
      </c>
    </row>
    <row r="51">
      <c r="A51" s="3" t="inlineStr">
        <is>
          <t>ECO 102</t>
        </is>
      </c>
      <c r="B51" s="3" t="inlineStr">
        <is>
          <t>Principles of Macroeconomics</t>
        </is>
      </c>
      <c r="C51" s="3" t="n">
        <v>6</v>
      </c>
      <c r="D51" s="3" t="inlineStr">
        <is>
          <t>Bachelor of Finance</t>
        </is>
      </c>
      <c r="E51" s="3" t="n">
        <v>2</v>
      </c>
    </row>
    <row r="52">
      <c r="A52" s="3" t="inlineStr">
        <is>
          <t>ACC 102</t>
        </is>
      </c>
      <c r="B52" s="3" t="inlineStr">
        <is>
          <t>Managerial Accounting</t>
        </is>
      </c>
      <c r="C52" s="3" t="n">
        <v>6</v>
      </c>
      <c r="D52" s="3" t="inlineStr">
        <is>
          <t>Bachelor of Finance</t>
        </is>
      </c>
      <c r="E52" s="3" t="n">
        <v>2</v>
      </c>
    </row>
    <row r="53">
      <c r="A53" s="3" t="inlineStr">
        <is>
          <t>STA 110</t>
        </is>
      </c>
      <c r="B53" s="3" t="inlineStr">
        <is>
          <t>Business Statistics</t>
        </is>
      </c>
      <c r="C53" s="3" t="n">
        <v>6</v>
      </c>
      <c r="D53" s="3" t="inlineStr">
        <is>
          <t>Bachelor of Finance</t>
        </is>
      </c>
      <c r="E53" s="3" t="n">
        <v>2</v>
      </c>
    </row>
    <row r="54">
      <c r="A54" s="3" t="inlineStr">
        <is>
          <t>FIN 150</t>
        </is>
      </c>
      <c r="B54" s="3" t="inlineStr">
        <is>
          <t>Financial Markets and Institutions</t>
        </is>
      </c>
      <c r="C54" s="3" t="n">
        <v>6</v>
      </c>
      <c r="D54" s="3" t="inlineStr">
        <is>
          <t>Bachelor of Finance</t>
        </is>
      </c>
      <c r="E54" s="3" t="n">
        <v>2</v>
      </c>
    </row>
    <row r="55">
      <c r="A55" s="3" t="inlineStr">
        <is>
          <t>FIN 210</t>
        </is>
      </c>
      <c r="B55" s="3" t="inlineStr">
        <is>
          <t>Corporate Finance</t>
        </is>
      </c>
      <c r="C55" s="3" t="n">
        <v>6</v>
      </c>
      <c r="D55" s="3" t="inlineStr">
        <is>
          <t>Bachelor of Finance</t>
        </is>
      </c>
      <c r="E55" s="3" t="n">
        <v>3</v>
      </c>
    </row>
    <row r="56">
      <c r="A56" s="3" t="inlineStr">
        <is>
          <t>FIN 220</t>
        </is>
      </c>
      <c r="B56" s="3" t="inlineStr">
        <is>
          <t>Investments</t>
        </is>
      </c>
      <c r="C56" s="3" t="n">
        <v>6</v>
      </c>
      <c r="D56" s="3" t="inlineStr">
        <is>
          <t>Bachelor of Finance</t>
        </is>
      </c>
      <c r="E56" s="3" t="n">
        <v>3</v>
      </c>
    </row>
    <row r="57">
      <c r="A57" s="3" t="inlineStr">
        <is>
          <t>FIN 230</t>
        </is>
      </c>
      <c r="B57" s="3" t="inlineStr">
        <is>
          <t>Banking Operations</t>
        </is>
      </c>
      <c r="C57" s="3" t="n">
        <v>6</v>
      </c>
      <c r="D57" s="3" t="inlineStr">
        <is>
          <t>Bachelor of Finance</t>
        </is>
      </c>
      <c r="E57" s="3" t="n">
        <v>3</v>
      </c>
    </row>
    <row r="58">
      <c r="A58" s="3" t="inlineStr">
        <is>
          <t>ECO 210</t>
        </is>
      </c>
      <c r="B58" s="3" t="inlineStr">
        <is>
          <t>Econometrics I</t>
        </is>
      </c>
      <c r="C58" s="3" t="n">
        <v>6</v>
      </c>
      <c r="D58" s="3" t="inlineStr">
        <is>
          <t>Bachelor of Finance</t>
        </is>
      </c>
      <c r="E58" s="3" t="n">
        <v>3</v>
      </c>
    </row>
    <row r="59">
      <c r="A59" s="3" t="inlineStr">
        <is>
          <t>LAW 201</t>
        </is>
      </c>
      <c r="B59" s="3" t="inlineStr">
        <is>
          <t>Business Law</t>
        </is>
      </c>
      <c r="C59" s="3" t="n">
        <v>6</v>
      </c>
      <c r="D59" s="3" t="inlineStr">
        <is>
          <t>Bachelor of Finance</t>
        </is>
      </c>
      <c r="E59" s="3" t="n">
        <v>3</v>
      </c>
    </row>
    <row r="60">
      <c r="A60" s="3" t="inlineStr">
        <is>
          <t>IRL 501</t>
        </is>
      </c>
      <c r="B60" s="3" t="inlineStr">
        <is>
          <t>Theories of International Relations</t>
        </is>
      </c>
      <c r="C60" s="3" t="n">
        <v>6</v>
      </c>
      <c r="D60" s="3" t="inlineStr">
        <is>
          <t>Master of International Relations</t>
        </is>
      </c>
      <c r="E60" s="3" t="n">
        <v>1</v>
      </c>
    </row>
    <row r="61">
      <c r="A61" s="3" t="inlineStr">
        <is>
          <t>IRL 510</t>
        </is>
      </c>
      <c r="B61" s="3" t="inlineStr">
        <is>
          <t>Global Political Economy</t>
        </is>
      </c>
      <c r="C61" s="3" t="n">
        <v>6</v>
      </c>
      <c r="D61" s="3" t="inlineStr">
        <is>
          <t>Master of International Relations</t>
        </is>
      </c>
      <c r="E61" s="3" t="n">
        <v>1</v>
      </c>
    </row>
    <row r="62">
      <c r="A62" s="3" t="inlineStr">
        <is>
          <t>IRL 520</t>
        </is>
      </c>
      <c r="B62" s="3" t="inlineStr">
        <is>
          <t>International Law</t>
        </is>
      </c>
      <c r="C62" s="3" t="n">
        <v>6</v>
      </c>
      <c r="D62" s="3" t="inlineStr">
        <is>
          <t>Master of International Relations</t>
        </is>
      </c>
      <c r="E62" s="3" t="n">
        <v>1</v>
      </c>
    </row>
    <row r="63">
      <c r="A63" s="3" t="inlineStr">
        <is>
          <t>IRL 530</t>
        </is>
      </c>
      <c r="B63" s="3" t="inlineStr">
        <is>
          <t>Research Design</t>
        </is>
      </c>
      <c r="C63" s="3" t="n">
        <v>6</v>
      </c>
      <c r="D63" s="3" t="inlineStr">
        <is>
          <t>Master of International Relations</t>
        </is>
      </c>
      <c r="E63" s="3" t="n">
        <v>1</v>
      </c>
    </row>
    <row r="64">
      <c r="A64" s="3" t="inlineStr">
        <is>
          <t>IRL 540</t>
        </is>
      </c>
      <c r="B64" s="3" t="inlineStr">
        <is>
          <t>Diplomacy and Statecraft</t>
        </is>
      </c>
      <c r="C64" s="3" t="n">
        <v>6</v>
      </c>
      <c r="D64" s="3" t="inlineStr">
        <is>
          <t>Master of International Relations</t>
        </is>
      </c>
      <c r="E64" s="3" t="n">
        <v>1</v>
      </c>
    </row>
    <row r="65">
      <c r="A65" s="3" t="inlineStr">
        <is>
          <t>IRL 550</t>
        </is>
      </c>
      <c r="B65" s="3" t="inlineStr">
        <is>
          <t>Security Studies</t>
        </is>
      </c>
      <c r="C65" s="3" t="n">
        <v>6</v>
      </c>
      <c r="D65" s="3" t="inlineStr">
        <is>
          <t>Master of International Relations</t>
        </is>
      </c>
      <c r="E65" s="3" t="n">
        <v>2</v>
      </c>
    </row>
    <row r="66">
      <c r="A66" s="3" t="inlineStr">
        <is>
          <t>IRL 560</t>
        </is>
      </c>
      <c r="B66" s="3" t="inlineStr">
        <is>
          <t>Central Asia in World Politics</t>
        </is>
      </c>
      <c r="C66" s="3" t="n">
        <v>6</v>
      </c>
      <c r="D66" s="3" t="inlineStr">
        <is>
          <t>Master of International Relations</t>
        </is>
      </c>
      <c r="E66" s="3" t="n">
        <v>2</v>
      </c>
    </row>
    <row r="67">
      <c r="A67" s="3" t="inlineStr">
        <is>
          <t>IRL 570</t>
        </is>
      </c>
      <c r="B67" s="3" t="inlineStr">
        <is>
          <t>International Organizations</t>
        </is>
      </c>
      <c r="C67" s="3" t="n">
        <v>6</v>
      </c>
      <c r="D67" s="3" t="inlineStr">
        <is>
          <t>Master of International Relations</t>
        </is>
      </c>
      <c r="E67" s="3" t="n">
        <v>2</v>
      </c>
    </row>
    <row r="68">
      <c r="A68" s="3" t="inlineStr">
        <is>
          <t>IRL 580</t>
        </is>
      </c>
      <c r="B68" s="3" t="inlineStr">
        <is>
          <t>Foreign Policy Analysis</t>
        </is>
      </c>
      <c r="C68" s="3" t="n">
        <v>6</v>
      </c>
      <c r="D68" s="3" t="inlineStr">
        <is>
          <t>Master of International Relations</t>
        </is>
      </c>
      <c r="E68" s="3" t="n">
        <v>2</v>
      </c>
    </row>
    <row r="69">
      <c r="A69" s="3" t="inlineStr">
        <is>
          <t>IRL 590</t>
        </is>
      </c>
      <c r="B69" s="3" t="inlineStr">
        <is>
          <t>Quantitative Methods</t>
        </is>
      </c>
      <c r="C69" s="3" t="n">
        <v>6</v>
      </c>
      <c r="D69" s="3" t="inlineStr">
        <is>
          <t>Master of International Relations</t>
        </is>
      </c>
      <c r="E69" s="3" t="n">
        <v>2</v>
      </c>
    </row>
    <row r="70">
      <c r="A70" s="3" t="inlineStr">
        <is>
          <t>IRL 610</t>
        </is>
      </c>
      <c r="B70" s="3" t="inlineStr">
        <is>
          <t>Conflict Resolution</t>
        </is>
      </c>
      <c r="C70" s="3" t="n">
        <v>6</v>
      </c>
      <c r="D70" s="3" t="inlineStr">
        <is>
          <t>Master of International Relations</t>
        </is>
      </c>
      <c r="E70" s="3" t="n">
        <v>3</v>
      </c>
    </row>
    <row r="71">
      <c r="A71" s="3" t="inlineStr">
        <is>
          <t>IRL 620</t>
        </is>
      </c>
      <c r="B71" s="3" t="inlineStr">
        <is>
          <t>Energy Geopolitics</t>
        </is>
      </c>
      <c r="C71" s="3" t="n">
        <v>6</v>
      </c>
      <c r="D71" s="3" t="inlineStr">
        <is>
          <t>Master of International Relations</t>
        </is>
      </c>
      <c r="E71" s="3" t="n">
        <v>3</v>
      </c>
    </row>
    <row r="72">
      <c r="A72" s="3" t="inlineStr">
        <is>
          <t>IRL 630</t>
        </is>
      </c>
      <c r="B72" s="3" t="inlineStr">
        <is>
          <t>Human Rights and Global Governance</t>
        </is>
      </c>
      <c r="C72" s="3" t="n">
        <v>6</v>
      </c>
      <c r="D72" s="3" t="inlineStr">
        <is>
          <t>Master of International Relations</t>
        </is>
      </c>
      <c r="E72" s="3" t="n">
        <v>3</v>
      </c>
    </row>
    <row r="73">
      <c r="A73" s="3" t="inlineStr">
        <is>
          <t>IRL 640</t>
        </is>
      </c>
      <c r="B73" s="3" t="inlineStr">
        <is>
          <t>Regional Integration</t>
        </is>
      </c>
      <c r="C73" s="3" t="n">
        <v>6</v>
      </c>
      <c r="D73" s="3" t="inlineStr">
        <is>
          <t>Master of International Relations</t>
        </is>
      </c>
      <c r="E73" s="3" t="n">
        <v>3</v>
      </c>
    </row>
    <row r="74">
      <c r="A74" s="3" t="inlineStr">
        <is>
          <t>IRL 690</t>
        </is>
      </c>
      <c r="B74" s="3" t="inlineStr">
        <is>
          <t>Master's Thesis Seminar</t>
        </is>
      </c>
      <c r="C74" s="3" t="n">
        <v>6</v>
      </c>
      <c r="D74" s="3" t="inlineStr">
        <is>
          <t>Master of International Relations</t>
        </is>
      </c>
      <c r="E74" s="3" t="n">
        <v>3</v>
      </c>
    </row>
    <row r="75">
      <c r="A75" s="3" t="inlineStr">
        <is>
          <t>MBA 501</t>
        </is>
      </c>
      <c r="B75" s="3" t="inlineStr">
        <is>
          <t>Managerial Economics</t>
        </is>
      </c>
      <c r="C75" s="3" t="n">
        <v>6</v>
      </c>
      <c r="D75" s="3" t="inlineStr">
        <is>
          <t>Master of Business Administration</t>
        </is>
      </c>
      <c r="E75" s="3" t="n">
        <v>1</v>
      </c>
    </row>
    <row r="76">
      <c r="A76" s="3" t="inlineStr">
        <is>
          <t>MBA 510</t>
        </is>
      </c>
      <c r="B76" s="3" t="inlineStr">
        <is>
          <t>Financial Reporting and Analysis</t>
        </is>
      </c>
      <c r="C76" s="3" t="n">
        <v>6</v>
      </c>
      <c r="D76" s="3" t="inlineStr">
        <is>
          <t>Master of Business Administration</t>
        </is>
      </c>
      <c r="E76" s="3" t="n">
        <v>1</v>
      </c>
    </row>
    <row r="77">
      <c r="A77" s="3" t="inlineStr">
        <is>
          <t>MBA 520</t>
        </is>
      </c>
      <c r="B77" s="3" t="inlineStr">
        <is>
          <t>Organizational Behavior</t>
        </is>
      </c>
      <c r="C77" s="3" t="n">
        <v>6</v>
      </c>
      <c r="D77" s="3" t="inlineStr">
        <is>
          <t>Master of Business Administration</t>
        </is>
      </c>
      <c r="E77" s="3" t="n">
        <v>1</v>
      </c>
    </row>
    <row r="78">
      <c r="A78" s="3" t="inlineStr">
        <is>
          <t>MBA 530</t>
        </is>
      </c>
      <c r="B78" s="3" t="inlineStr">
        <is>
          <t>Marketing Management</t>
        </is>
      </c>
      <c r="C78" s="3" t="n">
        <v>6</v>
      </c>
      <c r="D78" s="3" t="inlineStr">
        <is>
          <t>Master of Business Administration</t>
        </is>
      </c>
      <c r="E78" s="3" t="n">
        <v>1</v>
      </c>
    </row>
    <row r="79">
      <c r="A79" s="3" t="inlineStr">
        <is>
          <t>MBA 540</t>
        </is>
      </c>
      <c r="B79" s="3" t="inlineStr">
        <is>
          <t>Business Analytics</t>
        </is>
      </c>
      <c r="C79" s="3" t="n">
        <v>6</v>
      </c>
      <c r="D79" s="3" t="inlineStr">
        <is>
          <t>Master of Business Administration</t>
        </is>
      </c>
      <c r="E79" s="3" t="n">
        <v>1</v>
      </c>
    </row>
    <row r="80">
      <c r="A80" s="3" t="inlineStr">
        <is>
          <t>MBA 550</t>
        </is>
      </c>
      <c r="B80" s="3" t="inlineStr">
        <is>
          <t>Corporate Finance</t>
        </is>
      </c>
      <c r="C80" s="3" t="n">
        <v>6</v>
      </c>
      <c r="D80" s="3" t="inlineStr">
        <is>
          <t>Master of Business Administration</t>
        </is>
      </c>
      <c r="E80" s="3" t="n">
        <v>2</v>
      </c>
    </row>
    <row r="81">
      <c r="A81" s="3" t="inlineStr">
        <is>
          <t>MBA 560</t>
        </is>
      </c>
      <c r="B81" s="3" t="inlineStr">
        <is>
          <t>Operations Management</t>
        </is>
      </c>
      <c r="C81" s="3" t="n">
        <v>6</v>
      </c>
      <c r="D81" s="3" t="inlineStr">
        <is>
          <t>Master of Business Administration</t>
        </is>
      </c>
      <c r="E81" s="3" t="n">
        <v>2</v>
      </c>
    </row>
    <row r="82">
      <c r="A82" s="3" t="inlineStr">
        <is>
          <t>MBA 570</t>
        </is>
      </c>
      <c r="B82" s="3" t="inlineStr">
        <is>
          <t>Strategic Human Resource Management</t>
        </is>
      </c>
      <c r="C82" s="3" t="n">
        <v>6</v>
      </c>
      <c r="D82" s="3" t="inlineStr">
        <is>
          <t>Master of Business Administration</t>
        </is>
      </c>
      <c r="E82" s="3" t="n">
        <v>2</v>
      </c>
    </row>
    <row r="83">
      <c r="A83" s="3" t="inlineStr">
        <is>
          <t>MBA 580</t>
        </is>
      </c>
      <c r="B83" s="3" t="inlineStr">
        <is>
          <t>Business Ethics</t>
        </is>
      </c>
      <c r="C83" s="3" t="n">
        <v>6</v>
      </c>
      <c r="D83" s="3" t="inlineStr">
        <is>
          <t>Master of Business Administration</t>
        </is>
      </c>
      <c r="E83" s="3" t="n">
        <v>2</v>
      </c>
    </row>
    <row r="84">
      <c r="A84" s="3" t="inlineStr">
        <is>
          <t>MBA 590</t>
        </is>
      </c>
      <c r="B84" s="3" t="inlineStr">
        <is>
          <t>Leadership and Change</t>
        </is>
      </c>
      <c r="C84" s="3" t="n">
        <v>6</v>
      </c>
      <c r="D84" s="3" t="inlineStr">
        <is>
          <t>Master of Business Administration</t>
        </is>
      </c>
      <c r="E84" s="3" t="n">
        <v>2</v>
      </c>
    </row>
    <row r="85">
      <c r="A85" s="3" t="inlineStr">
        <is>
          <t>MBA 610</t>
        </is>
      </c>
      <c r="B85" s="3" t="inlineStr">
        <is>
          <t>Competitive Strategy</t>
        </is>
      </c>
      <c r="C85" s="3" t="n">
        <v>6</v>
      </c>
      <c r="D85" s="3" t="inlineStr">
        <is>
          <t>Master of Business Administration</t>
        </is>
      </c>
      <c r="E85" s="3" t="n">
        <v>3</v>
      </c>
    </row>
    <row r="86">
      <c r="A86" s="3" t="inlineStr">
        <is>
          <t>MBA 620</t>
        </is>
      </c>
      <c r="B86" s="3" t="inlineStr">
        <is>
          <t>Entrepreneurship and Innovation</t>
        </is>
      </c>
      <c r="C86" s="3" t="n">
        <v>6</v>
      </c>
      <c r="D86" s="3" t="inlineStr">
        <is>
          <t>Master of Business Administration</t>
        </is>
      </c>
      <c r="E86" s="3" t="n">
        <v>3</v>
      </c>
    </row>
    <row r="87">
      <c r="A87" s="3" t="inlineStr">
        <is>
          <t>MBA 630</t>
        </is>
      </c>
      <c r="B87" s="3" t="inlineStr">
        <is>
          <t>International Business</t>
        </is>
      </c>
      <c r="C87" s="3" t="n">
        <v>6</v>
      </c>
      <c r="D87" s="3" t="inlineStr">
        <is>
          <t>Master of Business Administration</t>
        </is>
      </c>
      <c r="E87" s="3" t="n">
        <v>3</v>
      </c>
    </row>
    <row r="88">
      <c r="A88" s="3" t="inlineStr">
        <is>
          <t>MBA 640</t>
        </is>
      </c>
      <c r="B88" s="3" t="inlineStr">
        <is>
          <t>Negotiation</t>
        </is>
      </c>
      <c r="C88" s="3" t="n">
        <v>6</v>
      </c>
      <c r="D88" s="3" t="inlineStr">
        <is>
          <t>Master of Business Administration</t>
        </is>
      </c>
      <c r="E88" s="3" t="n">
        <v>3</v>
      </c>
    </row>
    <row r="89">
      <c r="A89" s="3" t="inlineStr">
        <is>
          <t>MBA 690</t>
        </is>
      </c>
      <c r="B89" s="3" t="inlineStr">
        <is>
          <t>MBA Capstone Consulting Project</t>
        </is>
      </c>
      <c r="C89" s="3" t="n">
        <v>6</v>
      </c>
      <c r="D89" s="3" t="inlineStr">
        <is>
          <t>Master of Business Administration</t>
        </is>
      </c>
      <c r="E89" s="3" t="n">
        <v>3</v>
      </c>
    </row>
    <row r="90">
      <c r="A90" s="3" t="inlineStr">
        <is>
          <t>CIV 101</t>
        </is>
      </c>
      <c r="B90" s="3" t="inlineStr">
        <is>
          <t>Engineering Drawing</t>
        </is>
      </c>
      <c r="C90" s="3" t="n">
        <v>6</v>
      </c>
      <c r="D90" s="3" t="inlineStr">
        <is>
          <t>Bachelor of Civil Engineering</t>
        </is>
      </c>
      <c r="E90" s="3" t="n">
        <v>1</v>
      </c>
    </row>
    <row r="91">
      <c r="A91" s="3" t="inlineStr">
        <is>
          <t>PHY 101</t>
        </is>
      </c>
      <c r="B91" s="3" t="inlineStr">
        <is>
          <t>Physics I: Mechanics</t>
        </is>
      </c>
      <c r="C91" s="3" t="n">
        <v>6</v>
      </c>
      <c r="D91" s="3" t="inlineStr">
        <is>
          <t>Bachelor of Civil Engineering</t>
        </is>
      </c>
      <c r="E91" s="3" t="n">
        <v>1</v>
      </c>
    </row>
    <row r="92">
      <c r="A92" s="3" t="inlineStr">
        <is>
          <t>CHM 101</t>
        </is>
      </c>
      <c r="B92" s="3" t="inlineStr">
        <is>
          <t>General Chemistry</t>
        </is>
      </c>
      <c r="C92" s="3" t="n">
        <v>6</v>
      </c>
      <c r="D92" s="3" t="inlineStr">
        <is>
          <t>Bachelor of Civil Engineering</t>
        </is>
      </c>
      <c r="E92" s="3" t="n">
        <v>1</v>
      </c>
    </row>
    <row r="93">
      <c r="A93" s="3" t="inlineStr">
        <is>
          <t>CIV 150</t>
        </is>
      </c>
      <c r="B93" s="3" t="inlineStr">
        <is>
          <t>Statics</t>
        </is>
      </c>
      <c r="C93" s="3" t="n">
        <v>6</v>
      </c>
      <c r="D93" s="3" t="inlineStr">
        <is>
          <t>Bachelor of Civil Engineering</t>
        </is>
      </c>
      <c r="E93" s="3" t="n">
        <v>2</v>
      </c>
    </row>
    <row r="94">
      <c r="A94" s="3" t="inlineStr">
        <is>
          <t>MTH 140</t>
        </is>
      </c>
      <c r="B94" s="3" t="inlineStr">
        <is>
          <t>Calculus II</t>
        </is>
      </c>
      <c r="C94" s="3" t="n">
        <v>6</v>
      </c>
      <c r="D94" s="3" t="inlineStr">
        <is>
          <t>Bachelor of Civil Engineering</t>
        </is>
      </c>
      <c r="E94" s="3" t="n">
        <v>2</v>
      </c>
    </row>
    <row r="95">
      <c r="A95" s="3" t="inlineStr">
        <is>
          <t>PHY 102</t>
        </is>
      </c>
      <c r="B95" s="3" t="inlineStr">
        <is>
          <t>Physics II: Electricity and Magnetism</t>
        </is>
      </c>
      <c r="C95" s="3" t="n">
        <v>6</v>
      </c>
      <c r="D95" s="3" t="inlineStr">
        <is>
          <t>Bachelor of Civil Engineering</t>
        </is>
      </c>
      <c r="E95" s="3" t="n">
        <v>2</v>
      </c>
    </row>
    <row r="96">
      <c r="A96" s="3" t="inlineStr">
        <is>
          <t>CIV 160</t>
        </is>
      </c>
      <c r="B96" s="3" t="inlineStr">
        <is>
          <t>Surveying</t>
        </is>
      </c>
      <c r="C96" s="3" t="n">
        <v>6</v>
      </c>
      <c r="D96" s="3" t="inlineStr">
        <is>
          <t>Bachelor of Civil Engineering</t>
        </is>
      </c>
      <c r="E96" s="3" t="n">
        <v>2</v>
      </c>
    </row>
    <row r="97">
      <c r="A97" s="3" t="inlineStr">
        <is>
          <t>CIV 210</t>
        </is>
      </c>
      <c r="B97" s="3" t="inlineStr">
        <is>
          <t>Strength of Materials</t>
        </is>
      </c>
      <c r="C97" s="3" t="n">
        <v>6</v>
      </c>
      <c r="D97" s="3" t="inlineStr">
        <is>
          <t>Bachelor of Civil Engineering</t>
        </is>
      </c>
      <c r="E97" s="3" t="n">
        <v>3</v>
      </c>
    </row>
    <row r="98">
      <c r="A98" s="3" t="inlineStr">
        <is>
          <t>CIV 220</t>
        </is>
      </c>
      <c r="B98" s="3" t="inlineStr">
        <is>
          <t>Construction Materials</t>
        </is>
      </c>
      <c r="C98" s="3" t="n">
        <v>6</v>
      </c>
      <c r="D98" s="3" t="inlineStr">
        <is>
          <t>Bachelor of Civil Engineering</t>
        </is>
      </c>
      <c r="E98" s="3" t="n">
        <v>3</v>
      </c>
    </row>
    <row r="99">
      <c r="A99" s="3" t="inlineStr">
        <is>
          <t>CIV 230</t>
        </is>
      </c>
      <c r="B99" s="3" t="inlineStr">
        <is>
          <t>Fluid Mechanics</t>
        </is>
      </c>
      <c r="C99" s="3" t="n">
        <v>6</v>
      </c>
      <c r="D99" s="3" t="inlineStr">
        <is>
          <t>Bachelor of Civil Engineering</t>
        </is>
      </c>
      <c r="E99" s="3" t="n">
        <v>3</v>
      </c>
    </row>
    <row r="100">
      <c r="A100" s="3" t="inlineStr">
        <is>
          <t>MTH 210</t>
        </is>
      </c>
      <c r="B100" s="3" t="inlineStr">
        <is>
          <t>Differential Equations</t>
        </is>
      </c>
      <c r="C100" s="3" t="n">
        <v>6</v>
      </c>
      <c r="D100" s="3" t="inlineStr">
        <is>
          <t>Bachelor of Civil Engineering</t>
        </is>
      </c>
      <c r="E100" s="3" t="n">
        <v>3</v>
      </c>
    </row>
    <row r="101">
      <c r="A101" s="3" t="inlineStr">
        <is>
          <t>CIV 240</t>
        </is>
      </c>
      <c r="B101" s="3" t="inlineStr">
        <is>
          <t>Computer-Aided Design (CAD)</t>
        </is>
      </c>
      <c r="C101" s="3" t="n">
        <v>6</v>
      </c>
      <c r="D101" s="3" t="inlineStr">
        <is>
          <t>Bachelor of Civil Engineering</t>
        </is>
      </c>
      <c r="E101" s="3" t="n">
        <v>3</v>
      </c>
    </row>
    <row r="102">
      <c r="A102" s="3" t="inlineStr">
        <is>
          <t>ART 101</t>
        </is>
      </c>
      <c r="B102" s="3" t="inlineStr">
        <is>
          <t>Drawing Fundamentals</t>
        </is>
      </c>
      <c r="C102" s="3" t="n">
        <v>6</v>
      </c>
      <c r="D102" s="3" t="inlineStr">
        <is>
          <t>Bachelor of Graphic Design</t>
        </is>
      </c>
      <c r="E102" s="3" t="n">
        <v>1</v>
      </c>
    </row>
    <row r="103">
      <c r="A103" s="3" t="inlineStr">
        <is>
          <t>DES 101</t>
        </is>
      </c>
      <c r="B103" s="3" t="inlineStr">
        <is>
          <t>Design Principles</t>
        </is>
      </c>
      <c r="C103" s="3" t="n">
        <v>6</v>
      </c>
      <c r="D103" s="3" t="inlineStr">
        <is>
          <t>Bachelor of Graphic Design</t>
        </is>
      </c>
      <c r="E103" s="3" t="n">
        <v>1</v>
      </c>
    </row>
    <row r="104">
      <c r="A104" s="3" t="inlineStr">
        <is>
          <t>ART 110</t>
        </is>
      </c>
      <c r="B104" s="3" t="inlineStr">
        <is>
          <t>Color Theory</t>
        </is>
      </c>
      <c r="C104" s="3" t="n">
        <v>6</v>
      </c>
      <c r="D104" s="3" t="inlineStr">
        <is>
          <t>Bachelor of Graphic Design</t>
        </is>
      </c>
      <c r="E104" s="3" t="n">
        <v>1</v>
      </c>
    </row>
    <row r="105">
      <c r="A105" s="3" t="inlineStr">
        <is>
          <t>HIS 101</t>
        </is>
      </c>
      <c r="B105" s="3" t="inlineStr">
        <is>
          <t>History of Art</t>
        </is>
      </c>
      <c r="C105" s="3" t="n">
        <v>6</v>
      </c>
      <c r="D105" s="3" t="inlineStr">
        <is>
          <t>Bachelor of Graphic Design</t>
        </is>
      </c>
      <c r="E105" s="3" t="n">
        <v>1</v>
      </c>
    </row>
    <row r="106">
      <c r="A106" s="3" t="inlineStr">
        <is>
          <t>DES 150</t>
        </is>
      </c>
      <c r="B106" s="3" t="inlineStr">
        <is>
          <t>Typography I</t>
        </is>
      </c>
      <c r="C106" s="3" t="n">
        <v>6</v>
      </c>
      <c r="D106" s="3" t="inlineStr">
        <is>
          <t>Bachelor of Graphic Design</t>
        </is>
      </c>
      <c r="E106" s="3" t="n">
        <v>2</v>
      </c>
    </row>
    <row r="107">
      <c r="A107" s="3" t="inlineStr">
        <is>
          <t>DES 160</t>
        </is>
      </c>
      <c r="B107" s="3" t="inlineStr">
        <is>
          <t>Digital Imaging</t>
        </is>
      </c>
      <c r="C107" s="3" t="n">
        <v>6</v>
      </c>
      <c r="D107" s="3" t="inlineStr">
        <is>
          <t>Bachelor of Graphic Design</t>
        </is>
      </c>
      <c r="E107" s="3" t="n">
        <v>2</v>
      </c>
    </row>
    <row r="108">
      <c r="A108" s="3" t="inlineStr">
        <is>
          <t>DES 170</t>
        </is>
      </c>
      <c r="B108" s="3" t="inlineStr">
        <is>
          <t>Visual Communication</t>
        </is>
      </c>
      <c r="C108" s="3" t="n">
        <v>6</v>
      </c>
      <c r="D108" s="3" t="inlineStr">
        <is>
          <t>Bachelor of Graphic Design</t>
        </is>
      </c>
      <c r="E108" s="3" t="n">
        <v>2</v>
      </c>
    </row>
    <row r="109">
      <c r="A109" s="3" t="inlineStr">
        <is>
          <t>ART 150</t>
        </is>
      </c>
      <c r="B109" s="3" t="inlineStr">
        <is>
          <t>Photography Basics</t>
        </is>
      </c>
      <c r="C109" s="3" t="n">
        <v>6</v>
      </c>
      <c r="D109" s="3" t="inlineStr">
        <is>
          <t>Bachelor of Graphic Design</t>
        </is>
      </c>
      <c r="E109" s="3" t="n">
        <v>2</v>
      </c>
    </row>
    <row r="110">
      <c r="A110" s="3" t="inlineStr">
        <is>
          <t>DES 210</t>
        </is>
      </c>
      <c r="B110" s="3" t="inlineStr">
        <is>
          <t>Typography II</t>
        </is>
      </c>
      <c r="C110" s="3" t="n">
        <v>6</v>
      </c>
      <c r="D110" s="3" t="inlineStr">
        <is>
          <t>Bachelor of Graphic Design</t>
        </is>
      </c>
      <c r="E110" s="3" t="n">
        <v>3</v>
      </c>
    </row>
    <row r="111">
      <c r="A111" s="3" t="inlineStr">
        <is>
          <t>DES 220</t>
        </is>
      </c>
      <c r="B111" s="3" t="inlineStr">
        <is>
          <t>Brand Identity Design</t>
        </is>
      </c>
      <c r="C111" s="3" t="n">
        <v>6</v>
      </c>
      <c r="D111" s="3" t="inlineStr">
        <is>
          <t>Bachelor of Graphic Design</t>
        </is>
      </c>
      <c r="E111" s="3" t="n">
        <v>3</v>
      </c>
    </row>
    <row r="112">
      <c r="A112" s="3" t="inlineStr">
        <is>
          <t>DES 230</t>
        </is>
      </c>
      <c r="B112" s="3" t="inlineStr">
        <is>
          <t>UI/UX Design</t>
        </is>
      </c>
      <c r="C112" s="3" t="n">
        <v>6</v>
      </c>
      <c r="D112" s="3" t="inlineStr">
        <is>
          <t>Bachelor of Graphic Design</t>
        </is>
      </c>
      <c r="E112" s="3" t="n">
        <v>3</v>
      </c>
    </row>
    <row r="113">
      <c r="A113" s="3" t="inlineStr">
        <is>
          <t>DES 240</t>
        </is>
      </c>
      <c r="B113" s="3" t="inlineStr">
        <is>
          <t>Motion Graphics</t>
        </is>
      </c>
      <c r="C113" s="3" t="n">
        <v>6</v>
      </c>
      <c r="D113" s="3" t="inlineStr">
        <is>
          <t>Bachelor of Graphic Design</t>
        </is>
      </c>
      <c r="E113" s="3" t="n">
        <v>3</v>
      </c>
    </row>
    <row r="114">
      <c r="A114" s="3" t="inlineStr">
        <is>
          <t>DES 250</t>
        </is>
      </c>
      <c r="B114" s="3" t="inlineStr">
        <is>
          <t>Print Production</t>
        </is>
      </c>
      <c r="C114" s="3" t="n">
        <v>6</v>
      </c>
      <c r="D114" s="3" t="inlineStr">
        <is>
          <t>Bachelor of Graphic Design</t>
        </is>
      </c>
      <c r="E114" s="3" t="n">
        <v>3</v>
      </c>
    </row>
  </sheetData>
  <autoFilter ref="A1:E1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12" customWidth="1" min="4" max="4"/>
    <col width="12" customWidth="1" min="5" max="5"/>
    <col width="50" customWidth="1" min="6" max="6"/>
    <col width="7" customWidth="1" min="7" max="7"/>
    <col width="8" customWidth="1" min="8" max="8"/>
    <col width="11" customWidth="1" min="9" max="9"/>
    <col width="12" customWidth="1" min="10" max="10"/>
    <col width="13" customWidth="1" min="11" max="11"/>
  </cols>
  <sheetData>
    <row r="1" ht="30" customHeight="1">
      <c r="A1" s="2" t="inlineStr">
        <is>
          <t>Student ID</t>
        </is>
      </c>
      <c r="B1" s="2" t="inlineStr">
        <is>
          <t>Student Name</t>
        </is>
      </c>
      <c r="C1" s="2" t="inlineStr">
        <is>
          <t>Term</t>
        </is>
      </c>
      <c r="D1" s="2" t="inlineStr">
        <is>
          <t>Semester</t>
        </is>
      </c>
      <c r="E1" s="2" t="inlineStr">
        <is>
          <t>Course Code</t>
        </is>
      </c>
      <c r="F1" s="2" t="inlineStr">
        <is>
          <t>Course Title</t>
        </is>
      </c>
      <c r="G1" s="2" t="inlineStr">
        <is>
          <t>ECTS</t>
        </is>
      </c>
      <c r="H1" s="2" t="inlineStr">
        <is>
          <t>Grade</t>
        </is>
      </c>
      <c r="I1" s="2" t="inlineStr">
        <is>
          <t>Final Score</t>
        </is>
      </c>
      <c r="J1" s="2" t="inlineStr">
        <is>
          <t>Grade Points</t>
        </is>
      </c>
      <c r="K1" s="2" t="inlineStr">
        <is>
          <t>Quality Points</t>
        </is>
      </c>
    </row>
    <row r="2">
      <c r="A2" s="3" t="inlineStr">
        <is>
          <t>m250251</t>
        </is>
      </c>
      <c r="B2" s="3">
        <f>IFERROR(VLOOKUP(A2,Students!$A:$B,2,FALSE),"")</f>
        <v/>
      </c>
      <c r="C2" s="3" t="inlineStr">
        <is>
          <t>Spring 2025</t>
        </is>
      </c>
      <c r="D2" s="3" t="inlineStr">
        <is>
          <t>Semester 1</t>
        </is>
      </c>
      <c r="E2" s="3" t="inlineStr">
        <is>
          <t>TAM 530</t>
        </is>
      </c>
      <c r="F2" s="3">
        <f>IFERROR(VLOOKUP(E2,Courses!$A:$C,2,FALSE),"")</f>
        <v/>
      </c>
      <c r="G2" s="3">
        <f>IFERROR(VLOOKUP(E2,Courses!$A:$C,3,FALSE),0)</f>
        <v/>
      </c>
      <c r="H2" s="3" t="n"/>
      <c r="I2" s="3" t="n"/>
      <c r="J2" s="3">
        <f>IF(H2="","",VLOOKUP(H2,'Grade Scale'!$A:$B,2,FALSE))</f>
        <v/>
      </c>
      <c r="K2" s="3">
        <f>IF(J2="",0,J2*G2)</f>
        <v/>
      </c>
    </row>
    <row r="3">
      <c r="A3" s="3" t="inlineStr">
        <is>
          <t>m250251</t>
        </is>
      </c>
      <c r="B3" s="3">
        <f>IFERROR(VLOOKUP(A3,Students!$A:$B,2,FALSE),"")</f>
        <v/>
      </c>
      <c r="C3" s="3" t="inlineStr">
        <is>
          <t>Spring 2025</t>
        </is>
      </c>
      <c r="D3" s="3" t="inlineStr">
        <is>
          <t>Semester 1</t>
        </is>
      </c>
      <c r="E3" s="3" t="inlineStr">
        <is>
          <t>TGM 586</t>
        </is>
      </c>
      <c r="F3" s="3">
        <f>IFERROR(VLOOKUP(E3,Courses!$A:$C,2,FALSE),"")</f>
        <v/>
      </c>
      <c r="G3" s="3">
        <f>IFERROR(VLOOKUP(E3,Courses!$A:$C,3,FALSE),0)</f>
        <v/>
      </c>
      <c r="H3" s="3" t="n"/>
      <c r="I3" s="3" t="n"/>
      <c r="J3" s="3">
        <f>IF(H3="","",VLOOKUP(H3,'Grade Scale'!$A:$B,2,FALSE))</f>
        <v/>
      </c>
      <c r="K3" s="3">
        <f>IF(J3="",0,J3*G3)</f>
        <v/>
      </c>
    </row>
    <row r="4">
      <c r="A4" s="3" t="inlineStr">
        <is>
          <t>m250251</t>
        </is>
      </c>
      <c r="B4" s="3">
        <f>IFERROR(VLOOKUP(A4,Students!$A:$B,2,FALSE),"")</f>
        <v/>
      </c>
      <c r="C4" s="3" t="inlineStr">
        <is>
          <t>Spring 2025</t>
        </is>
      </c>
      <c r="D4" s="3" t="inlineStr">
        <is>
          <t>Semester 1</t>
        </is>
      </c>
      <c r="E4" s="3" t="inlineStr">
        <is>
          <t>TAM 557</t>
        </is>
      </c>
      <c r="F4" s="3">
        <f>IFERROR(VLOOKUP(E4,Courses!$A:$C,2,FALSE),"")</f>
        <v/>
      </c>
      <c r="G4" s="3">
        <f>IFERROR(VLOOKUP(E4,Courses!$A:$C,3,FALSE),0)</f>
        <v/>
      </c>
      <c r="H4" s="3" t="n"/>
      <c r="I4" s="3" t="n"/>
      <c r="J4" s="3">
        <f>IF(H4="","",VLOOKUP(H4,'Grade Scale'!$A:$B,2,FALSE))</f>
        <v/>
      </c>
      <c r="K4" s="3">
        <f>IF(J4="",0,J4*G4)</f>
        <v/>
      </c>
    </row>
    <row r="5">
      <c r="A5" s="3" t="inlineStr">
        <is>
          <t>m250251</t>
        </is>
      </c>
      <c r="B5" s="3">
        <f>IFERROR(VLOOKUP(A5,Students!$A:$B,2,FALSE),"")</f>
        <v/>
      </c>
      <c r="C5" s="3" t="inlineStr">
        <is>
          <t>Spring 2025</t>
        </is>
      </c>
      <c r="D5" s="3" t="inlineStr">
        <is>
          <t>Semester 1</t>
        </is>
      </c>
      <c r="E5" s="3" t="inlineStr">
        <is>
          <t>TAM 542</t>
        </is>
      </c>
      <c r="F5" s="3">
        <f>IFERROR(VLOOKUP(E5,Courses!$A:$C,2,FALSE),"")</f>
        <v/>
      </c>
      <c r="G5" s="3">
        <f>IFERROR(VLOOKUP(E5,Courses!$A:$C,3,FALSE),0)</f>
        <v/>
      </c>
      <c r="H5" s="3" t="inlineStr">
        <is>
          <t>A+</t>
        </is>
      </c>
      <c r="I5" s="3" t="n">
        <v>100</v>
      </c>
      <c r="J5" s="3">
        <f>IF(H5="","",VLOOKUP(H5,'Grade Scale'!$A:$B,2,FALSE))</f>
        <v/>
      </c>
      <c r="K5" s="3">
        <f>IF(J5="",0,J5*G5)</f>
        <v/>
      </c>
    </row>
    <row r="6">
      <c r="A6" s="3" t="inlineStr">
        <is>
          <t>m250251</t>
        </is>
      </c>
      <c r="B6" s="3">
        <f>IFERROR(VLOOKUP(A6,Students!$A:$B,2,FALSE),"")</f>
        <v/>
      </c>
      <c r="C6" s="3" t="inlineStr">
        <is>
          <t>Spring 2025</t>
        </is>
      </c>
      <c r="D6" s="3" t="inlineStr">
        <is>
          <t>Semester 1</t>
        </is>
      </c>
      <c r="E6" s="3" t="inlineStr">
        <is>
          <t>TAM 511</t>
        </is>
      </c>
      <c r="F6" s="3">
        <f>IFERROR(VLOOKUP(E6,Courses!$A:$C,2,FALSE),"")</f>
        <v/>
      </c>
      <c r="G6" s="3">
        <f>IFERROR(VLOOKUP(E6,Courses!$A:$C,3,FALSE),0)</f>
        <v/>
      </c>
      <c r="H6" s="3" t="n"/>
      <c r="I6" s="3" t="n"/>
      <c r="J6" s="3">
        <f>IF(H6="","",VLOOKUP(H6,'Grade Scale'!$A:$B,2,FALSE))</f>
        <v/>
      </c>
      <c r="K6" s="3">
        <f>IF(J6="",0,J6*G6)</f>
        <v/>
      </c>
    </row>
    <row r="7">
      <c r="A7" s="3" t="inlineStr">
        <is>
          <t>m250251</t>
        </is>
      </c>
      <c r="B7" s="3">
        <f>IFERROR(VLOOKUP(A7,Students!$A:$B,2,FALSE),"")</f>
        <v/>
      </c>
      <c r="C7" s="3" t="inlineStr">
        <is>
          <t>Fall 2025</t>
        </is>
      </c>
      <c r="D7" s="3" t="inlineStr">
        <is>
          <t>Semester 2</t>
        </is>
      </c>
      <c r="E7" s="3" t="inlineStr">
        <is>
          <t>IAL 503</t>
        </is>
      </c>
      <c r="F7" s="3">
        <f>IFERROR(VLOOKUP(E7,Courses!$A:$C,2,FALSE),"")</f>
        <v/>
      </c>
      <c r="G7" s="3">
        <f>IFERROR(VLOOKUP(E7,Courses!$A:$C,3,FALSE),0)</f>
        <v/>
      </c>
      <c r="H7" s="3" t="inlineStr">
        <is>
          <t>B-</t>
        </is>
      </c>
      <c r="I7" s="3" t="n">
        <v>82</v>
      </c>
      <c r="J7" s="3">
        <f>IF(H7="","",VLOOKUP(H7,'Grade Scale'!$A:$B,2,FALSE))</f>
        <v/>
      </c>
      <c r="K7" s="3">
        <f>IF(J7="",0,J7*G7)</f>
        <v/>
      </c>
    </row>
    <row r="8">
      <c r="A8" s="3" t="inlineStr">
        <is>
          <t>m250251</t>
        </is>
      </c>
      <c r="B8" s="3">
        <f>IFERROR(VLOOKUP(A8,Students!$A:$B,2,FALSE),"")</f>
        <v/>
      </c>
      <c r="C8" s="3" t="inlineStr">
        <is>
          <t>Fall 2025</t>
        </is>
      </c>
      <c r="D8" s="3" t="inlineStr">
        <is>
          <t>Semester 2</t>
        </is>
      </c>
      <c r="E8" s="3" t="inlineStr">
        <is>
          <t>FIN 560</t>
        </is>
      </c>
      <c r="F8" s="3">
        <f>IFERROR(VLOOKUP(E8,Courses!$A:$C,2,FALSE),"")</f>
        <v/>
      </c>
      <c r="G8" s="3">
        <f>IFERROR(VLOOKUP(E8,Courses!$A:$C,3,FALSE),0)</f>
        <v/>
      </c>
      <c r="H8" s="3" t="inlineStr">
        <is>
          <t>B</t>
        </is>
      </c>
      <c r="I8" s="3" t="n">
        <v>53</v>
      </c>
      <c r="J8" s="3">
        <f>IF(H8="","",VLOOKUP(H8,'Grade Scale'!$A:$B,2,FALSE))</f>
        <v/>
      </c>
      <c r="K8" s="3">
        <f>IF(J8="",0,J8*G8)</f>
        <v/>
      </c>
    </row>
    <row r="9">
      <c r="A9" s="3" t="inlineStr">
        <is>
          <t>m250251</t>
        </is>
      </c>
      <c r="B9" s="3">
        <f>IFERROR(VLOOKUP(A9,Students!$A:$B,2,FALSE),"")</f>
        <v/>
      </c>
      <c r="C9" s="3" t="inlineStr">
        <is>
          <t>Fall 2025</t>
        </is>
      </c>
      <c r="D9" s="3" t="inlineStr">
        <is>
          <t>Semester 2</t>
        </is>
      </c>
      <c r="E9" s="3" t="inlineStr">
        <is>
          <t>TGM 551</t>
        </is>
      </c>
      <c r="F9" s="3">
        <f>IFERROR(VLOOKUP(E9,Courses!$A:$C,2,FALSE),"")</f>
        <v/>
      </c>
      <c r="G9" s="3">
        <f>IFERROR(VLOOKUP(E9,Courses!$A:$C,3,FALSE),0)</f>
        <v/>
      </c>
      <c r="H9" s="3" t="inlineStr">
        <is>
          <t>C</t>
        </is>
      </c>
      <c r="I9" s="3" t="n">
        <v>74</v>
      </c>
      <c r="J9" s="3">
        <f>IF(H9="","",VLOOKUP(H9,'Grade Scale'!$A:$B,2,FALSE))</f>
        <v/>
      </c>
      <c r="K9" s="3">
        <f>IF(J9="",0,J9*G9)</f>
        <v/>
      </c>
    </row>
    <row r="10">
      <c r="A10" s="3" t="inlineStr">
        <is>
          <t>m250251</t>
        </is>
      </c>
      <c r="B10" s="3">
        <f>IFERROR(VLOOKUP(A10,Students!$A:$B,2,FALSE),"")</f>
        <v/>
      </c>
      <c r="C10" s="3" t="inlineStr">
        <is>
          <t>Fall 2025</t>
        </is>
      </c>
      <c r="D10" s="3" t="inlineStr">
        <is>
          <t>Semester 2</t>
        </is>
      </c>
      <c r="E10" s="3" t="inlineStr">
        <is>
          <t>TAM 505</t>
        </is>
      </c>
      <c r="F10" s="3">
        <f>IFERROR(VLOOKUP(E10,Courses!$A:$C,2,FALSE),"")</f>
        <v/>
      </c>
      <c r="G10" s="3">
        <f>IFERROR(VLOOKUP(E10,Courses!$A:$C,3,FALSE),0)</f>
        <v/>
      </c>
      <c r="H10" s="3" t="n"/>
      <c r="I10" s="3" t="n"/>
      <c r="J10" s="3">
        <f>IF(H10="","",VLOOKUP(H10,'Grade Scale'!$A:$B,2,FALSE))</f>
        <v/>
      </c>
      <c r="K10" s="3">
        <f>IF(J10="",0,J10*G10)</f>
        <v/>
      </c>
    </row>
    <row r="11">
      <c r="A11" s="3" t="inlineStr">
        <is>
          <t>m250251</t>
        </is>
      </c>
      <c r="B11" s="3">
        <f>IFERROR(VLOOKUP(A11,Students!$A:$B,2,FALSE),"")</f>
        <v/>
      </c>
      <c r="C11" s="3" t="inlineStr">
        <is>
          <t>Fall 2025</t>
        </is>
      </c>
      <c r="D11" s="3" t="inlineStr">
        <is>
          <t>Semester 2</t>
        </is>
      </c>
      <c r="E11" s="3" t="inlineStr">
        <is>
          <t>TGM 507</t>
        </is>
      </c>
      <c r="F11" s="3">
        <f>IFERROR(VLOOKUP(E11,Courses!$A:$C,2,FALSE),"")</f>
        <v/>
      </c>
      <c r="G11" s="3">
        <f>IFERROR(VLOOKUP(E11,Courses!$A:$C,3,FALSE),0)</f>
        <v/>
      </c>
      <c r="H11" s="3" t="inlineStr">
        <is>
          <t>B+</t>
        </is>
      </c>
      <c r="I11" s="3" t="n">
        <v>87</v>
      </c>
      <c r="J11" s="3">
        <f>IF(H11="","",VLOOKUP(H11,'Grade Scale'!$A:$B,2,FALSE))</f>
        <v/>
      </c>
      <c r="K11" s="3">
        <f>IF(J11="",0,J11*G11)</f>
        <v/>
      </c>
    </row>
    <row r="12">
      <c r="A12" s="3" t="inlineStr">
        <is>
          <t>m250268</t>
        </is>
      </c>
      <c r="B12" s="3">
        <f>IFERROR(VLOOKUP(A12,Students!$A:$B,2,FALSE),"")</f>
        <v/>
      </c>
      <c r="C12" s="3" t="inlineStr">
        <is>
          <t>Spring 2025</t>
        </is>
      </c>
      <c r="D12" s="3" t="inlineStr">
        <is>
          <t>Semester 1</t>
        </is>
      </c>
      <c r="E12" s="3" t="inlineStr">
        <is>
          <t>CSE 101</t>
        </is>
      </c>
      <c r="F12" s="3">
        <f>IFERROR(VLOOKUP(E12,Courses!$A:$C,2,FALSE),"")</f>
        <v/>
      </c>
      <c r="G12" s="3">
        <f>IFERROR(VLOOKUP(E12,Courses!$A:$C,3,FALSE),0)</f>
        <v/>
      </c>
      <c r="H12" s="3" t="inlineStr">
        <is>
          <t>A</t>
        </is>
      </c>
      <c r="I12" s="3" t="n">
        <v>93</v>
      </c>
      <c r="J12" s="3">
        <f>IF(H12="","",VLOOKUP(H12,'Grade Scale'!$A:$B,2,FALSE))</f>
        <v/>
      </c>
      <c r="K12" s="3">
        <f>IF(J12="",0,J12*G12)</f>
        <v/>
      </c>
    </row>
    <row r="13">
      <c r="A13" s="3" t="inlineStr">
        <is>
          <t>m250268</t>
        </is>
      </c>
      <c r="B13" s="3">
        <f>IFERROR(VLOOKUP(A13,Students!$A:$B,2,FALSE),"")</f>
        <v/>
      </c>
      <c r="C13" s="3" t="inlineStr">
        <is>
          <t>Spring 2025</t>
        </is>
      </c>
      <c r="D13" s="3" t="inlineStr">
        <is>
          <t>Semester 1</t>
        </is>
      </c>
      <c r="E13" s="3" t="inlineStr">
        <is>
          <t>MTH 110</t>
        </is>
      </c>
      <c r="F13" s="3">
        <f>IFERROR(VLOOKUP(E13,Courses!$A:$C,2,FALSE),"")</f>
        <v/>
      </c>
      <c r="G13" s="3">
        <f>IFERROR(VLOOKUP(E13,Courses!$A:$C,3,FALSE),0)</f>
        <v/>
      </c>
      <c r="H13" s="3" t="inlineStr">
        <is>
          <t>A-</t>
        </is>
      </c>
      <c r="I13" s="3" t="n">
        <v>90</v>
      </c>
      <c r="J13" s="3">
        <f>IF(H13="","",VLOOKUP(H13,'Grade Scale'!$A:$B,2,FALSE))</f>
        <v/>
      </c>
      <c r="K13" s="3">
        <f>IF(J13="",0,J13*G13)</f>
        <v/>
      </c>
    </row>
    <row r="14">
      <c r="A14" s="3" t="inlineStr">
        <is>
          <t>m250268</t>
        </is>
      </c>
      <c r="B14" s="3">
        <f>IFERROR(VLOOKUP(A14,Students!$A:$B,2,FALSE),"")</f>
        <v/>
      </c>
      <c r="C14" s="3" t="inlineStr">
        <is>
          <t>Spring 2025</t>
        </is>
      </c>
      <c r="D14" s="3" t="inlineStr">
        <is>
          <t>Semester 1</t>
        </is>
      </c>
      <c r="E14" s="3" t="inlineStr">
        <is>
          <t>CSE 120</t>
        </is>
      </c>
      <c r="F14" s="3">
        <f>IFERROR(VLOOKUP(E14,Courses!$A:$C,2,FALSE),"")</f>
        <v/>
      </c>
      <c r="G14" s="3">
        <f>IFERROR(VLOOKUP(E14,Courses!$A:$C,3,FALSE),0)</f>
        <v/>
      </c>
      <c r="H14" s="3" t="inlineStr">
        <is>
          <t>A-</t>
        </is>
      </c>
      <c r="I14" s="3" t="n">
        <v>91</v>
      </c>
      <c r="J14" s="3">
        <f>IF(H14="","",VLOOKUP(H14,'Grade Scale'!$A:$B,2,FALSE))</f>
        <v/>
      </c>
      <c r="K14" s="3">
        <f>IF(J14="",0,J14*G14)</f>
        <v/>
      </c>
    </row>
    <row r="15">
      <c r="A15" s="3" t="inlineStr">
        <is>
          <t>m250268</t>
        </is>
      </c>
      <c r="B15" s="3">
        <f>IFERROR(VLOOKUP(A15,Students!$A:$B,2,FALSE),"")</f>
        <v/>
      </c>
      <c r="C15" s="3" t="inlineStr">
        <is>
          <t>Spring 2025</t>
        </is>
      </c>
      <c r="D15" s="3" t="inlineStr">
        <is>
          <t>Semester 1</t>
        </is>
      </c>
      <c r="E15" s="3" t="inlineStr">
        <is>
          <t>ENG 101</t>
        </is>
      </c>
      <c r="F15" s="3">
        <f>IFERROR(VLOOKUP(E15,Courses!$A:$C,2,FALSE),"")</f>
        <v/>
      </c>
      <c r="G15" s="3">
        <f>IFERROR(VLOOKUP(E15,Courses!$A:$C,3,FALSE),0)</f>
        <v/>
      </c>
      <c r="H15" s="3" t="inlineStr">
        <is>
          <t>B-</t>
        </is>
      </c>
      <c r="I15" s="3" t="n">
        <v>80</v>
      </c>
      <c r="J15" s="3">
        <f>IF(H15="","",VLOOKUP(H15,'Grade Scale'!$A:$B,2,FALSE))</f>
        <v/>
      </c>
      <c r="K15" s="3">
        <f>IF(J15="",0,J15*G15)</f>
        <v/>
      </c>
    </row>
    <row r="16">
      <c r="A16" s="3" t="inlineStr">
        <is>
          <t>m250268</t>
        </is>
      </c>
      <c r="B16" s="3">
        <f>IFERROR(VLOOKUP(A16,Students!$A:$B,2,FALSE),"")</f>
        <v/>
      </c>
      <c r="C16" s="3" t="inlineStr">
        <is>
          <t>Spring 2025</t>
        </is>
      </c>
      <c r="D16" s="3" t="inlineStr">
        <is>
          <t>Semester 1</t>
        </is>
      </c>
      <c r="E16" s="3" t="inlineStr">
        <is>
          <t>MTH 120</t>
        </is>
      </c>
      <c r="F16" s="3">
        <f>IFERROR(VLOOKUP(E16,Courses!$A:$C,2,FALSE),"")</f>
        <v/>
      </c>
      <c r="G16" s="3">
        <f>IFERROR(VLOOKUP(E16,Courses!$A:$C,3,FALSE),0)</f>
        <v/>
      </c>
      <c r="H16" s="3" t="inlineStr">
        <is>
          <t>B</t>
        </is>
      </c>
      <c r="I16" s="3" t="n">
        <v>85</v>
      </c>
      <c r="J16" s="3">
        <f>IF(H16="","",VLOOKUP(H16,'Grade Scale'!$A:$B,2,FALSE))</f>
        <v/>
      </c>
      <c r="K16" s="3">
        <f>IF(J16="",0,J16*G16)</f>
        <v/>
      </c>
    </row>
    <row r="17">
      <c r="A17" s="3" t="inlineStr">
        <is>
          <t>m250268</t>
        </is>
      </c>
      <c r="B17" s="3">
        <f>IFERROR(VLOOKUP(A17,Students!$A:$B,2,FALSE),"")</f>
        <v/>
      </c>
      <c r="C17" s="3" t="inlineStr">
        <is>
          <t>Fall 2025</t>
        </is>
      </c>
      <c r="D17" s="3" t="inlineStr">
        <is>
          <t>Semester 2</t>
        </is>
      </c>
      <c r="E17" s="3" t="inlineStr">
        <is>
          <t>CSE 150</t>
        </is>
      </c>
      <c r="F17" s="3">
        <f>IFERROR(VLOOKUP(E17,Courses!$A:$C,2,FALSE),"")</f>
        <v/>
      </c>
      <c r="G17" s="3">
        <f>IFERROR(VLOOKUP(E17,Courses!$A:$C,3,FALSE),0)</f>
        <v/>
      </c>
      <c r="H17" s="3" t="inlineStr">
        <is>
          <t>A-</t>
        </is>
      </c>
      <c r="I17" s="3" t="n">
        <v>92</v>
      </c>
      <c r="J17" s="3">
        <f>IF(H17="","",VLOOKUP(H17,'Grade Scale'!$A:$B,2,FALSE))</f>
        <v/>
      </c>
      <c r="K17" s="3">
        <f>IF(J17="",0,J17*G17)</f>
        <v/>
      </c>
    </row>
    <row r="18">
      <c r="A18" s="3" t="inlineStr">
        <is>
          <t>m250268</t>
        </is>
      </c>
      <c r="B18" s="3">
        <f>IFERROR(VLOOKUP(A18,Students!$A:$B,2,FALSE),"")</f>
        <v/>
      </c>
      <c r="C18" s="3" t="inlineStr">
        <is>
          <t>Fall 2025</t>
        </is>
      </c>
      <c r="D18" s="3" t="inlineStr">
        <is>
          <t>Semester 2</t>
        </is>
      </c>
      <c r="E18" s="3" t="inlineStr">
        <is>
          <t>CSE 160</t>
        </is>
      </c>
      <c r="F18" s="3">
        <f>IFERROR(VLOOKUP(E18,Courses!$A:$C,2,FALSE),"")</f>
        <v/>
      </c>
      <c r="G18" s="3">
        <f>IFERROR(VLOOKUP(E18,Courses!$A:$C,3,FALSE),0)</f>
        <v/>
      </c>
      <c r="H18" s="3" t="inlineStr">
        <is>
          <t>B+</t>
        </is>
      </c>
      <c r="I18" s="3" t="n">
        <v>88</v>
      </c>
      <c r="J18" s="3">
        <f>IF(H18="","",VLOOKUP(H18,'Grade Scale'!$A:$B,2,FALSE))</f>
        <v/>
      </c>
      <c r="K18" s="3">
        <f>IF(J18="",0,J18*G18)</f>
        <v/>
      </c>
    </row>
    <row r="19">
      <c r="A19" s="3" t="inlineStr">
        <is>
          <t>m250268</t>
        </is>
      </c>
      <c r="B19" s="3">
        <f>IFERROR(VLOOKUP(A19,Students!$A:$B,2,FALSE),"")</f>
        <v/>
      </c>
      <c r="C19" s="3" t="inlineStr">
        <is>
          <t>Fall 2025</t>
        </is>
      </c>
      <c r="D19" s="3" t="inlineStr">
        <is>
          <t>Semester 2</t>
        </is>
      </c>
      <c r="E19" s="3" t="inlineStr">
        <is>
          <t>CSE 170</t>
        </is>
      </c>
      <c r="F19" s="3">
        <f>IFERROR(VLOOKUP(E19,Courses!$A:$C,2,FALSE),"")</f>
        <v/>
      </c>
      <c r="G19" s="3">
        <f>IFERROR(VLOOKUP(E19,Courses!$A:$C,3,FALSE),0)</f>
        <v/>
      </c>
      <c r="H19" s="3" t="inlineStr">
        <is>
          <t>B+</t>
        </is>
      </c>
      <c r="I19" s="3" t="n">
        <v>89</v>
      </c>
      <c r="J19" s="3">
        <f>IF(H19="","",VLOOKUP(H19,'Grade Scale'!$A:$B,2,FALSE))</f>
        <v/>
      </c>
      <c r="K19" s="3">
        <f>IF(J19="",0,J19*G19)</f>
        <v/>
      </c>
    </row>
    <row r="20">
      <c r="A20" s="3" t="inlineStr">
        <is>
          <t>m250268</t>
        </is>
      </c>
      <c r="B20" s="3">
        <f>IFERROR(VLOOKUP(A20,Students!$A:$B,2,FALSE),"")</f>
        <v/>
      </c>
      <c r="C20" s="3" t="inlineStr">
        <is>
          <t>Fall 2025</t>
        </is>
      </c>
      <c r="D20" s="3" t="inlineStr">
        <is>
          <t>Semester 2</t>
        </is>
      </c>
      <c r="E20" s="3" t="inlineStr">
        <is>
          <t>ENG 102</t>
        </is>
      </c>
      <c r="F20" s="3">
        <f>IFERROR(VLOOKUP(E20,Courses!$A:$C,2,FALSE),"")</f>
        <v/>
      </c>
      <c r="G20" s="3">
        <f>IFERROR(VLOOKUP(E20,Courses!$A:$C,3,FALSE),0)</f>
        <v/>
      </c>
      <c r="H20" s="3" t="inlineStr">
        <is>
          <t>A-</t>
        </is>
      </c>
      <c r="I20" s="3" t="n">
        <v>92</v>
      </c>
      <c r="J20" s="3">
        <f>IF(H20="","",VLOOKUP(H20,'Grade Scale'!$A:$B,2,FALSE))</f>
        <v/>
      </c>
      <c r="K20" s="3">
        <f>IF(J20="",0,J20*G20)</f>
        <v/>
      </c>
    </row>
    <row r="21">
      <c r="A21" s="3" t="inlineStr">
        <is>
          <t>m250268</t>
        </is>
      </c>
      <c r="B21" s="3">
        <f>IFERROR(VLOOKUP(A21,Students!$A:$B,2,FALSE),"")</f>
        <v/>
      </c>
      <c r="C21" s="3" t="inlineStr">
        <is>
          <t>Fall 2025</t>
        </is>
      </c>
      <c r="D21" s="3" t="inlineStr">
        <is>
          <t>Semester 2</t>
        </is>
      </c>
      <c r="E21" s="3" t="inlineStr">
        <is>
          <t>MTH 130</t>
        </is>
      </c>
      <c r="F21" s="3">
        <f>IFERROR(VLOOKUP(E21,Courses!$A:$C,2,FALSE),"")</f>
        <v/>
      </c>
      <c r="G21" s="3">
        <f>IFERROR(VLOOKUP(E21,Courses!$A:$C,3,FALSE),0)</f>
        <v/>
      </c>
      <c r="H21" s="3" t="inlineStr">
        <is>
          <t>A-</t>
        </is>
      </c>
      <c r="I21" s="3" t="n">
        <v>91</v>
      </c>
      <c r="J21" s="3">
        <f>IF(H21="","",VLOOKUP(H21,'Grade Scale'!$A:$B,2,FALSE))</f>
        <v/>
      </c>
      <c r="K21" s="3">
        <f>IF(J21="",0,J21*G21)</f>
        <v/>
      </c>
    </row>
    <row r="22">
      <c r="A22" s="3" t="inlineStr">
        <is>
          <t>m250268</t>
        </is>
      </c>
      <c r="B22" s="3">
        <f>IFERROR(VLOOKUP(A22,Students!$A:$B,2,FALSE),"")</f>
        <v/>
      </c>
      <c r="C22" s="3" t="inlineStr">
        <is>
          <t>Spring 2026</t>
        </is>
      </c>
      <c r="D22" s="3" t="inlineStr">
        <is>
          <t>Semester 3</t>
        </is>
      </c>
      <c r="E22" s="3" t="inlineStr">
        <is>
          <t>CSE 210</t>
        </is>
      </c>
      <c r="F22" s="3">
        <f>IFERROR(VLOOKUP(E22,Courses!$A:$C,2,FALSE),"")</f>
        <v/>
      </c>
      <c r="G22" s="3">
        <f>IFERROR(VLOOKUP(E22,Courses!$A:$C,3,FALSE),0)</f>
        <v/>
      </c>
      <c r="H22" s="3" t="inlineStr">
        <is>
          <t>A</t>
        </is>
      </c>
      <c r="I22" s="3" t="n">
        <v>94</v>
      </c>
      <c r="J22" s="3">
        <f>IF(H22="","",VLOOKUP(H22,'Grade Scale'!$A:$B,2,FALSE))</f>
        <v/>
      </c>
      <c r="K22" s="3">
        <f>IF(J22="",0,J22*G22)</f>
        <v/>
      </c>
    </row>
    <row r="23">
      <c r="A23" s="3" t="inlineStr">
        <is>
          <t>m250268</t>
        </is>
      </c>
      <c r="B23" s="3">
        <f>IFERROR(VLOOKUP(A23,Students!$A:$B,2,FALSE),"")</f>
        <v/>
      </c>
      <c r="C23" s="3" t="inlineStr">
        <is>
          <t>Spring 2026</t>
        </is>
      </c>
      <c r="D23" s="3" t="inlineStr">
        <is>
          <t>Semester 3</t>
        </is>
      </c>
      <c r="E23" s="3" t="inlineStr">
        <is>
          <t>CSE 220</t>
        </is>
      </c>
      <c r="F23" s="3">
        <f>IFERROR(VLOOKUP(E23,Courses!$A:$C,2,FALSE),"")</f>
        <v/>
      </c>
      <c r="G23" s="3">
        <f>IFERROR(VLOOKUP(E23,Courses!$A:$C,3,FALSE),0)</f>
        <v/>
      </c>
      <c r="H23" s="3" t="inlineStr">
        <is>
          <t>A</t>
        </is>
      </c>
      <c r="I23" s="3" t="n">
        <v>94</v>
      </c>
      <c r="J23" s="3">
        <f>IF(H23="","",VLOOKUP(H23,'Grade Scale'!$A:$B,2,FALSE))</f>
        <v/>
      </c>
      <c r="K23" s="3">
        <f>IF(J23="",0,J23*G23)</f>
        <v/>
      </c>
    </row>
    <row r="24">
      <c r="A24" s="3" t="inlineStr">
        <is>
          <t>m250268</t>
        </is>
      </c>
      <c r="B24" s="3">
        <f>IFERROR(VLOOKUP(A24,Students!$A:$B,2,FALSE),"")</f>
        <v/>
      </c>
      <c r="C24" s="3" t="inlineStr">
        <is>
          <t>Spring 2026</t>
        </is>
      </c>
      <c r="D24" s="3" t="inlineStr">
        <is>
          <t>Semester 3</t>
        </is>
      </c>
      <c r="E24" s="3" t="inlineStr">
        <is>
          <t>CSE 230</t>
        </is>
      </c>
      <c r="F24" s="3">
        <f>IFERROR(VLOOKUP(E24,Courses!$A:$C,2,FALSE),"")</f>
        <v/>
      </c>
      <c r="G24" s="3">
        <f>IFERROR(VLOOKUP(E24,Courses!$A:$C,3,FALSE),0)</f>
        <v/>
      </c>
      <c r="H24" s="3" t="inlineStr">
        <is>
          <t>A-</t>
        </is>
      </c>
      <c r="I24" s="3" t="n">
        <v>91</v>
      </c>
      <c r="J24" s="3">
        <f>IF(H24="","",VLOOKUP(H24,'Grade Scale'!$A:$B,2,FALSE))</f>
        <v/>
      </c>
      <c r="K24" s="3">
        <f>IF(J24="",0,J24*G24)</f>
        <v/>
      </c>
    </row>
    <row r="25">
      <c r="A25" s="3" t="inlineStr">
        <is>
          <t>m250268</t>
        </is>
      </c>
      <c r="B25" s="3">
        <f>IFERROR(VLOOKUP(A25,Students!$A:$B,2,FALSE),"")</f>
        <v/>
      </c>
      <c r="C25" s="3" t="inlineStr">
        <is>
          <t>Spring 2026</t>
        </is>
      </c>
      <c r="D25" s="3" t="inlineStr">
        <is>
          <t>Semester 3</t>
        </is>
      </c>
      <c r="E25" s="3" t="inlineStr">
        <is>
          <t>CSE 240</t>
        </is>
      </c>
      <c r="F25" s="3">
        <f>IFERROR(VLOOKUP(E25,Courses!$A:$C,2,FALSE),"")</f>
        <v/>
      </c>
      <c r="G25" s="3">
        <f>IFERROR(VLOOKUP(E25,Courses!$A:$C,3,FALSE),0)</f>
        <v/>
      </c>
      <c r="H25" s="3" t="inlineStr">
        <is>
          <t>A-</t>
        </is>
      </c>
      <c r="I25" s="3" t="n">
        <v>91</v>
      </c>
      <c r="J25" s="3">
        <f>IF(H25="","",VLOOKUP(H25,'Grade Scale'!$A:$B,2,FALSE))</f>
        <v/>
      </c>
      <c r="K25" s="3">
        <f>IF(J25="",0,J25*G25)</f>
        <v/>
      </c>
    </row>
    <row r="26">
      <c r="A26" s="3" t="inlineStr">
        <is>
          <t>m250268</t>
        </is>
      </c>
      <c r="B26" s="3">
        <f>IFERROR(VLOOKUP(A26,Students!$A:$B,2,FALSE),"")</f>
        <v/>
      </c>
      <c r="C26" s="3" t="inlineStr">
        <is>
          <t>Spring 2026</t>
        </is>
      </c>
      <c r="D26" s="3" t="inlineStr">
        <is>
          <t>Semester 3</t>
        </is>
      </c>
      <c r="E26" s="3" t="inlineStr">
        <is>
          <t>STA 201</t>
        </is>
      </c>
      <c r="F26" s="3">
        <f>IFERROR(VLOOKUP(E26,Courses!$A:$C,2,FALSE),"")</f>
        <v/>
      </c>
      <c r="G26" s="3">
        <f>IFERROR(VLOOKUP(E26,Courses!$A:$C,3,FALSE),0)</f>
        <v/>
      </c>
      <c r="H26" s="3" t="inlineStr">
        <is>
          <t>A-</t>
        </is>
      </c>
      <c r="I26" s="3" t="n">
        <v>91</v>
      </c>
      <c r="J26" s="3">
        <f>IF(H26="","",VLOOKUP(H26,'Grade Scale'!$A:$B,2,FALSE))</f>
        <v/>
      </c>
      <c r="K26" s="3">
        <f>IF(J26="",0,J26*G26)</f>
        <v/>
      </c>
    </row>
    <row r="27">
      <c r="A27" s="3" t="inlineStr">
        <is>
          <t>m250269</t>
        </is>
      </c>
      <c r="B27" s="3">
        <f>IFERROR(VLOOKUP(A27,Students!$A:$B,2,FALSE),"")</f>
        <v/>
      </c>
      <c r="C27" s="3" t="inlineStr">
        <is>
          <t>Spring 2025</t>
        </is>
      </c>
      <c r="D27" s="3" t="inlineStr">
        <is>
          <t>Semester 1</t>
        </is>
      </c>
      <c r="E27" s="3" t="inlineStr">
        <is>
          <t>MBA 501</t>
        </is>
      </c>
      <c r="F27" s="3">
        <f>IFERROR(VLOOKUP(E27,Courses!$A:$C,2,FALSE),"")</f>
        <v/>
      </c>
      <c r="G27" s="3">
        <f>IFERROR(VLOOKUP(E27,Courses!$A:$C,3,FALSE),0)</f>
        <v/>
      </c>
      <c r="H27" s="3" t="inlineStr">
        <is>
          <t>A</t>
        </is>
      </c>
      <c r="I27" s="3" t="n">
        <v>94</v>
      </c>
      <c r="J27" s="3">
        <f>IF(H27="","",VLOOKUP(H27,'Grade Scale'!$A:$B,2,FALSE))</f>
        <v/>
      </c>
      <c r="K27" s="3">
        <f>IF(J27="",0,J27*G27)</f>
        <v/>
      </c>
    </row>
    <row r="28">
      <c r="A28" s="3" t="inlineStr">
        <is>
          <t>m250269</t>
        </is>
      </c>
      <c r="B28" s="3">
        <f>IFERROR(VLOOKUP(A28,Students!$A:$B,2,FALSE),"")</f>
        <v/>
      </c>
      <c r="C28" s="3" t="inlineStr">
        <is>
          <t>Spring 2025</t>
        </is>
      </c>
      <c r="D28" s="3" t="inlineStr">
        <is>
          <t>Semester 1</t>
        </is>
      </c>
      <c r="E28" s="3" t="inlineStr">
        <is>
          <t>MBA 510</t>
        </is>
      </c>
      <c r="F28" s="3">
        <f>IFERROR(VLOOKUP(E28,Courses!$A:$C,2,FALSE),"")</f>
        <v/>
      </c>
      <c r="G28" s="3">
        <f>IFERROR(VLOOKUP(E28,Courses!$A:$C,3,FALSE),0)</f>
        <v/>
      </c>
      <c r="H28" s="3" t="inlineStr">
        <is>
          <t>A-</t>
        </is>
      </c>
      <c r="I28" s="3" t="n">
        <v>92</v>
      </c>
      <c r="J28" s="3">
        <f>IF(H28="","",VLOOKUP(H28,'Grade Scale'!$A:$B,2,FALSE))</f>
        <v/>
      </c>
      <c r="K28" s="3">
        <f>IF(J28="",0,J28*G28)</f>
        <v/>
      </c>
    </row>
    <row r="29">
      <c r="A29" s="3" t="inlineStr">
        <is>
          <t>m250269</t>
        </is>
      </c>
      <c r="B29" s="3">
        <f>IFERROR(VLOOKUP(A29,Students!$A:$B,2,FALSE),"")</f>
        <v/>
      </c>
      <c r="C29" s="3" t="inlineStr">
        <is>
          <t>Spring 2025</t>
        </is>
      </c>
      <c r="D29" s="3" t="inlineStr">
        <is>
          <t>Semester 1</t>
        </is>
      </c>
      <c r="E29" s="3" t="inlineStr">
        <is>
          <t>MBA 520</t>
        </is>
      </c>
      <c r="F29" s="3">
        <f>IFERROR(VLOOKUP(E29,Courses!$A:$C,2,FALSE),"")</f>
        <v/>
      </c>
      <c r="G29" s="3">
        <f>IFERROR(VLOOKUP(E29,Courses!$A:$C,3,FALSE),0)</f>
        <v/>
      </c>
      <c r="H29" s="3" t="inlineStr">
        <is>
          <t>A</t>
        </is>
      </c>
      <c r="I29" s="3" t="n">
        <v>95</v>
      </c>
      <c r="J29" s="3">
        <f>IF(H29="","",VLOOKUP(H29,'Grade Scale'!$A:$B,2,FALSE))</f>
        <v/>
      </c>
      <c r="K29" s="3">
        <f>IF(J29="",0,J29*G29)</f>
        <v/>
      </c>
    </row>
    <row r="30">
      <c r="A30" s="3" t="inlineStr">
        <is>
          <t>m250269</t>
        </is>
      </c>
      <c r="B30" s="3">
        <f>IFERROR(VLOOKUP(A30,Students!$A:$B,2,FALSE),"")</f>
        <v/>
      </c>
      <c r="C30" s="3" t="inlineStr">
        <is>
          <t>Spring 2025</t>
        </is>
      </c>
      <c r="D30" s="3" t="inlineStr">
        <is>
          <t>Semester 1</t>
        </is>
      </c>
      <c r="E30" s="3" t="inlineStr">
        <is>
          <t>MBA 530</t>
        </is>
      </c>
      <c r="F30" s="3">
        <f>IFERROR(VLOOKUP(E30,Courses!$A:$C,2,FALSE),"")</f>
        <v/>
      </c>
      <c r="G30" s="3">
        <f>IFERROR(VLOOKUP(E30,Courses!$A:$C,3,FALSE),0)</f>
        <v/>
      </c>
      <c r="H30" s="3" t="inlineStr">
        <is>
          <t>A</t>
        </is>
      </c>
      <c r="I30" s="3" t="n">
        <v>94</v>
      </c>
      <c r="J30" s="3">
        <f>IF(H30="","",VLOOKUP(H30,'Grade Scale'!$A:$B,2,FALSE))</f>
        <v/>
      </c>
      <c r="K30" s="3">
        <f>IF(J30="",0,J30*G30)</f>
        <v/>
      </c>
    </row>
    <row r="31">
      <c r="A31" s="3" t="inlineStr">
        <is>
          <t>m250269</t>
        </is>
      </c>
      <c r="B31" s="3">
        <f>IFERROR(VLOOKUP(A31,Students!$A:$B,2,FALSE),"")</f>
        <v/>
      </c>
      <c r="C31" s="3" t="inlineStr">
        <is>
          <t>Spring 2025</t>
        </is>
      </c>
      <c r="D31" s="3" t="inlineStr">
        <is>
          <t>Semester 1</t>
        </is>
      </c>
      <c r="E31" s="3" t="inlineStr">
        <is>
          <t>MBA 540</t>
        </is>
      </c>
      <c r="F31" s="3">
        <f>IFERROR(VLOOKUP(E31,Courses!$A:$C,2,FALSE),"")</f>
        <v/>
      </c>
      <c r="G31" s="3">
        <f>IFERROR(VLOOKUP(E31,Courses!$A:$C,3,FALSE),0)</f>
        <v/>
      </c>
      <c r="H31" s="3" t="inlineStr">
        <is>
          <t>B+</t>
        </is>
      </c>
      <c r="I31" s="3" t="n">
        <v>89</v>
      </c>
      <c r="J31" s="3">
        <f>IF(H31="","",VLOOKUP(H31,'Grade Scale'!$A:$B,2,FALSE))</f>
        <v/>
      </c>
      <c r="K31" s="3">
        <f>IF(J31="",0,J31*G31)</f>
        <v/>
      </c>
    </row>
    <row r="32">
      <c r="A32" s="3" t="inlineStr">
        <is>
          <t>m250269</t>
        </is>
      </c>
      <c r="B32" s="3">
        <f>IFERROR(VLOOKUP(A32,Students!$A:$B,2,FALSE),"")</f>
        <v/>
      </c>
      <c r="C32" s="3" t="inlineStr">
        <is>
          <t>Fall 2025</t>
        </is>
      </c>
      <c r="D32" s="3" t="inlineStr">
        <is>
          <t>Semester 2</t>
        </is>
      </c>
      <c r="E32" s="3" t="inlineStr">
        <is>
          <t>MBA 550</t>
        </is>
      </c>
      <c r="F32" s="3">
        <f>IFERROR(VLOOKUP(E32,Courses!$A:$C,2,FALSE),"")</f>
        <v/>
      </c>
      <c r="G32" s="3">
        <f>IFERROR(VLOOKUP(E32,Courses!$A:$C,3,FALSE),0)</f>
        <v/>
      </c>
      <c r="H32" s="3" t="inlineStr">
        <is>
          <t>A</t>
        </is>
      </c>
      <c r="I32" s="3" t="n">
        <v>95</v>
      </c>
      <c r="J32" s="3">
        <f>IF(H32="","",VLOOKUP(H32,'Grade Scale'!$A:$B,2,FALSE))</f>
        <v/>
      </c>
      <c r="K32" s="3">
        <f>IF(J32="",0,J32*G32)</f>
        <v/>
      </c>
    </row>
    <row r="33">
      <c r="A33" s="3" t="inlineStr">
        <is>
          <t>m250269</t>
        </is>
      </c>
      <c r="B33" s="3">
        <f>IFERROR(VLOOKUP(A33,Students!$A:$B,2,FALSE),"")</f>
        <v/>
      </c>
      <c r="C33" s="3" t="inlineStr">
        <is>
          <t>Fall 2025</t>
        </is>
      </c>
      <c r="D33" s="3" t="inlineStr">
        <is>
          <t>Semester 2</t>
        </is>
      </c>
      <c r="E33" s="3" t="inlineStr">
        <is>
          <t>MBA 560</t>
        </is>
      </c>
      <c r="F33" s="3">
        <f>IFERROR(VLOOKUP(E33,Courses!$A:$C,2,FALSE),"")</f>
        <v/>
      </c>
      <c r="G33" s="3">
        <f>IFERROR(VLOOKUP(E33,Courses!$A:$C,3,FALSE),0)</f>
        <v/>
      </c>
      <c r="H33" s="3" t="inlineStr">
        <is>
          <t>A</t>
        </is>
      </c>
      <c r="I33" s="3" t="n">
        <v>93</v>
      </c>
      <c r="J33" s="3">
        <f>IF(H33="","",VLOOKUP(H33,'Grade Scale'!$A:$B,2,FALSE))</f>
        <v/>
      </c>
      <c r="K33" s="3">
        <f>IF(J33="",0,J33*G33)</f>
        <v/>
      </c>
    </row>
    <row r="34">
      <c r="A34" s="3" t="inlineStr">
        <is>
          <t>m250269</t>
        </is>
      </c>
      <c r="B34" s="3">
        <f>IFERROR(VLOOKUP(A34,Students!$A:$B,2,FALSE),"")</f>
        <v/>
      </c>
      <c r="C34" s="3" t="inlineStr">
        <is>
          <t>Fall 2025</t>
        </is>
      </c>
      <c r="D34" s="3" t="inlineStr">
        <is>
          <t>Semester 2</t>
        </is>
      </c>
      <c r="E34" s="3" t="inlineStr">
        <is>
          <t>MBA 570</t>
        </is>
      </c>
      <c r="F34" s="3">
        <f>IFERROR(VLOOKUP(E34,Courses!$A:$C,2,FALSE),"")</f>
        <v/>
      </c>
      <c r="G34" s="3">
        <f>IFERROR(VLOOKUP(E34,Courses!$A:$C,3,FALSE),0)</f>
        <v/>
      </c>
      <c r="H34" s="3" t="inlineStr">
        <is>
          <t>A-</t>
        </is>
      </c>
      <c r="I34" s="3" t="n">
        <v>91</v>
      </c>
      <c r="J34" s="3">
        <f>IF(H34="","",VLOOKUP(H34,'Grade Scale'!$A:$B,2,FALSE))</f>
        <v/>
      </c>
      <c r="K34" s="3">
        <f>IF(J34="",0,J34*G34)</f>
        <v/>
      </c>
    </row>
    <row r="35">
      <c r="A35" s="3" t="inlineStr">
        <is>
          <t>m250269</t>
        </is>
      </c>
      <c r="B35" s="3">
        <f>IFERROR(VLOOKUP(A35,Students!$A:$B,2,FALSE),"")</f>
        <v/>
      </c>
      <c r="C35" s="3" t="inlineStr">
        <is>
          <t>Fall 2025</t>
        </is>
      </c>
      <c r="D35" s="3" t="inlineStr">
        <is>
          <t>Semester 2</t>
        </is>
      </c>
      <c r="E35" s="3" t="inlineStr">
        <is>
          <t>MBA 580</t>
        </is>
      </c>
      <c r="F35" s="3">
        <f>IFERROR(VLOOKUP(E35,Courses!$A:$C,2,FALSE),"")</f>
        <v/>
      </c>
      <c r="G35" s="3">
        <f>IFERROR(VLOOKUP(E35,Courses!$A:$C,3,FALSE),0)</f>
        <v/>
      </c>
      <c r="H35" s="3" t="inlineStr">
        <is>
          <t>A+</t>
        </is>
      </c>
      <c r="I35" s="3" t="n">
        <v>100</v>
      </c>
      <c r="J35" s="3">
        <f>IF(H35="","",VLOOKUP(H35,'Grade Scale'!$A:$B,2,FALSE))</f>
        <v/>
      </c>
      <c r="K35" s="3">
        <f>IF(J35="",0,J35*G35)</f>
        <v/>
      </c>
    </row>
    <row r="36">
      <c r="A36" s="3" t="inlineStr">
        <is>
          <t>m250269</t>
        </is>
      </c>
      <c r="B36" s="3">
        <f>IFERROR(VLOOKUP(A36,Students!$A:$B,2,FALSE),"")</f>
        <v/>
      </c>
      <c r="C36" s="3" t="inlineStr">
        <is>
          <t>Fall 2025</t>
        </is>
      </c>
      <c r="D36" s="3" t="inlineStr">
        <is>
          <t>Semester 2</t>
        </is>
      </c>
      <c r="E36" s="3" t="inlineStr">
        <is>
          <t>MBA 590</t>
        </is>
      </c>
      <c r="F36" s="3">
        <f>IFERROR(VLOOKUP(E36,Courses!$A:$C,2,FALSE),"")</f>
        <v/>
      </c>
      <c r="G36" s="3">
        <f>IFERROR(VLOOKUP(E36,Courses!$A:$C,3,FALSE),0)</f>
        <v/>
      </c>
      <c r="H36" s="3" t="inlineStr">
        <is>
          <t>A</t>
        </is>
      </c>
      <c r="I36" s="3" t="n">
        <v>94</v>
      </c>
      <c r="J36" s="3">
        <f>IF(H36="","",VLOOKUP(H36,'Grade Scale'!$A:$B,2,FALSE))</f>
        <v/>
      </c>
      <c r="K36" s="3">
        <f>IF(J36="",0,J36*G36)</f>
        <v/>
      </c>
    </row>
    <row r="37">
      <c r="A37" s="3" t="inlineStr">
        <is>
          <t>m250269</t>
        </is>
      </c>
      <c r="B37" s="3">
        <f>IFERROR(VLOOKUP(A37,Students!$A:$B,2,FALSE),"")</f>
        <v/>
      </c>
      <c r="C37" s="3" t="inlineStr">
        <is>
          <t>Spring 2026</t>
        </is>
      </c>
      <c r="D37" s="3" t="inlineStr">
        <is>
          <t>Semester 3</t>
        </is>
      </c>
      <c r="E37" s="3" t="inlineStr">
        <is>
          <t>MBA 610</t>
        </is>
      </c>
      <c r="F37" s="3">
        <f>IFERROR(VLOOKUP(E37,Courses!$A:$C,2,FALSE),"")</f>
        <v/>
      </c>
      <c r="G37" s="3">
        <f>IFERROR(VLOOKUP(E37,Courses!$A:$C,3,FALSE),0)</f>
        <v/>
      </c>
      <c r="H37" s="3" t="inlineStr">
        <is>
          <t>A+</t>
        </is>
      </c>
      <c r="I37" s="3" t="n">
        <v>98</v>
      </c>
      <c r="J37" s="3">
        <f>IF(H37="","",VLOOKUP(H37,'Grade Scale'!$A:$B,2,FALSE))</f>
        <v/>
      </c>
      <c r="K37" s="3">
        <f>IF(J37="",0,J37*G37)</f>
        <v/>
      </c>
    </row>
    <row r="38">
      <c r="A38" s="3" t="inlineStr">
        <is>
          <t>m250269</t>
        </is>
      </c>
      <c r="B38" s="3">
        <f>IFERROR(VLOOKUP(A38,Students!$A:$B,2,FALSE),"")</f>
        <v/>
      </c>
      <c r="C38" s="3" t="inlineStr">
        <is>
          <t>Spring 2026</t>
        </is>
      </c>
      <c r="D38" s="3" t="inlineStr">
        <is>
          <t>Semester 3</t>
        </is>
      </c>
      <c r="E38" s="3" t="inlineStr">
        <is>
          <t>MBA 620</t>
        </is>
      </c>
      <c r="F38" s="3">
        <f>IFERROR(VLOOKUP(E38,Courses!$A:$C,2,FALSE),"")</f>
        <v/>
      </c>
      <c r="G38" s="3">
        <f>IFERROR(VLOOKUP(E38,Courses!$A:$C,3,FALSE),0)</f>
        <v/>
      </c>
      <c r="H38" s="3" t="inlineStr">
        <is>
          <t>A-</t>
        </is>
      </c>
      <c r="I38" s="3" t="n">
        <v>90</v>
      </c>
      <c r="J38" s="3">
        <f>IF(H38="","",VLOOKUP(H38,'Grade Scale'!$A:$B,2,FALSE))</f>
        <v/>
      </c>
      <c r="K38" s="3">
        <f>IF(J38="",0,J38*G38)</f>
        <v/>
      </c>
    </row>
    <row r="39">
      <c r="A39" s="3" t="inlineStr">
        <is>
          <t>m250269</t>
        </is>
      </c>
      <c r="B39" s="3">
        <f>IFERROR(VLOOKUP(A39,Students!$A:$B,2,FALSE),"")</f>
        <v/>
      </c>
      <c r="C39" s="3" t="inlineStr">
        <is>
          <t>Spring 2026</t>
        </is>
      </c>
      <c r="D39" s="3" t="inlineStr">
        <is>
          <t>Semester 3</t>
        </is>
      </c>
      <c r="E39" s="3" t="inlineStr">
        <is>
          <t>MBA 630</t>
        </is>
      </c>
      <c r="F39" s="3">
        <f>IFERROR(VLOOKUP(E39,Courses!$A:$C,2,FALSE),"")</f>
        <v/>
      </c>
      <c r="G39" s="3">
        <f>IFERROR(VLOOKUP(E39,Courses!$A:$C,3,FALSE),0)</f>
        <v/>
      </c>
      <c r="H39" s="3" t="inlineStr">
        <is>
          <t>A</t>
        </is>
      </c>
      <c r="I39" s="3" t="n">
        <v>93</v>
      </c>
      <c r="J39" s="3">
        <f>IF(H39="","",VLOOKUP(H39,'Grade Scale'!$A:$B,2,FALSE))</f>
        <v/>
      </c>
      <c r="K39" s="3">
        <f>IF(J39="",0,J39*G39)</f>
        <v/>
      </c>
    </row>
    <row r="40">
      <c r="A40" s="3" t="inlineStr">
        <is>
          <t>m250269</t>
        </is>
      </c>
      <c r="B40" s="3">
        <f>IFERROR(VLOOKUP(A40,Students!$A:$B,2,FALSE),"")</f>
        <v/>
      </c>
      <c r="C40" s="3" t="inlineStr">
        <is>
          <t>Spring 2026</t>
        </is>
      </c>
      <c r="D40" s="3" t="inlineStr">
        <is>
          <t>Semester 3</t>
        </is>
      </c>
      <c r="E40" s="3" t="inlineStr">
        <is>
          <t>MBA 640</t>
        </is>
      </c>
      <c r="F40" s="3">
        <f>IFERROR(VLOOKUP(E40,Courses!$A:$C,2,FALSE),"")</f>
        <v/>
      </c>
      <c r="G40" s="3">
        <f>IFERROR(VLOOKUP(E40,Courses!$A:$C,3,FALSE),0)</f>
        <v/>
      </c>
      <c r="H40" s="3" t="inlineStr">
        <is>
          <t>A+</t>
        </is>
      </c>
      <c r="I40" s="3" t="n">
        <v>100</v>
      </c>
      <c r="J40" s="3">
        <f>IF(H40="","",VLOOKUP(H40,'Grade Scale'!$A:$B,2,FALSE))</f>
        <v/>
      </c>
      <c r="K40" s="3">
        <f>IF(J40="",0,J40*G40)</f>
        <v/>
      </c>
    </row>
    <row r="41">
      <c r="A41" s="3" t="inlineStr">
        <is>
          <t>m250269</t>
        </is>
      </c>
      <c r="B41" s="3">
        <f>IFERROR(VLOOKUP(A41,Students!$A:$B,2,FALSE),"")</f>
        <v/>
      </c>
      <c r="C41" s="3" t="inlineStr">
        <is>
          <t>Spring 2026</t>
        </is>
      </c>
      <c r="D41" s="3" t="inlineStr">
        <is>
          <t>Semester 3</t>
        </is>
      </c>
      <c r="E41" s="3" t="inlineStr">
        <is>
          <t>MBA 690</t>
        </is>
      </c>
      <c r="F41" s="3">
        <f>IFERROR(VLOOKUP(E41,Courses!$A:$C,2,FALSE),"")</f>
        <v/>
      </c>
      <c r="G41" s="3">
        <f>IFERROR(VLOOKUP(E41,Courses!$A:$C,3,FALSE),0)</f>
        <v/>
      </c>
      <c r="H41" s="3" t="inlineStr">
        <is>
          <t>C+</t>
        </is>
      </c>
      <c r="I41" s="3" t="n">
        <v>78</v>
      </c>
      <c r="J41" s="3">
        <f>IF(H41="","",VLOOKUP(H41,'Grade Scale'!$A:$B,2,FALSE))</f>
        <v/>
      </c>
      <c r="K41" s="3">
        <f>IF(J41="",0,J41*G41)</f>
        <v/>
      </c>
    </row>
    <row r="42">
      <c r="A42" s="3" t="inlineStr">
        <is>
          <t>m250270</t>
        </is>
      </c>
      <c r="B42" s="3">
        <f>IFERROR(VLOOKUP(A42,Students!$A:$B,2,FALSE),"")</f>
        <v/>
      </c>
      <c r="C42" s="3" t="inlineStr">
        <is>
          <t>Spring 2025</t>
        </is>
      </c>
      <c r="D42" s="3" t="inlineStr">
        <is>
          <t>Semester 1</t>
        </is>
      </c>
      <c r="E42" s="3" t="inlineStr">
        <is>
          <t>TAM 530</t>
        </is>
      </c>
      <c r="F42" s="3">
        <f>IFERROR(VLOOKUP(E42,Courses!$A:$C,2,FALSE),"")</f>
        <v/>
      </c>
      <c r="G42" s="3">
        <f>IFERROR(VLOOKUP(E42,Courses!$A:$C,3,FALSE),0)</f>
        <v/>
      </c>
      <c r="H42" s="3" t="inlineStr">
        <is>
          <t>B-</t>
        </is>
      </c>
      <c r="I42" s="3" t="n">
        <v>80</v>
      </c>
      <c r="J42" s="3">
        <f>IF(H42="","",VLOOKUP(H42,'Grade Scale'!$A:$B,2,FALSE))</f>
        <v/>
      </c>
      <c r="K42" s="3">
        <f>IF(J42="",0,J42*G42)</f>
        <v/>
      </c>
    </row>
    <row r="43">
      <c r="A43" s="3" t="inlineStr">
        <is>
          <t>m250270</t>
        </is>
      </c>
      <c r="B43" s="3">
        <f>IFERROR(VLOOKUP(A43,Students!$A:$B,2,FALSE),"")</f>
        <v/>
      </c>
      <c r="C43" s="3" t="inlineStr">
        <is>
          <t>Spring 2025</t>
        </is>
      </c>
      <c r="D43" s="3" t="inlineStr">
        <is>
          <t>Semester 1</t>
        </is>
      </c>
      <c r="E43" s="3" t="inlineStr">
        <is>
          <t>TGM 586</t>
        </is>
      </c>
      <c r="F43" s="3">
        <f>IFERROR(VLOOKUP(E43,Courses!$A:$C,2,FALSE),"")</f>
        <v/>
      </c>
      <c r="G43" s="3">
        <f>IFERROR(VLOOKUP(E43,Courses!$A:$C,3,FALSE),0)</f>
        <v/>
      </c>
      <c r="H43" s="3" t="inlineStr">
        <is>
          <t>A-</t>
        </is>
      </c>
      <c r="I43" s="3" t="n">
        <v>92</v>
      </c>
      <c r="J43" s="3">
        <f>IF(H43="","",VLOOKUP(H43,'Grade Scale'!$A:$B,2,FALSE))</f>
        <v/>
      </c>
      <c r="K43" s="3">
        <f>IF(J43="",0,J43*G43)</f>
        <v/>
      </c>
    </row>
    <row r="44">
      <c r="A44" s="3" t="inlineStr">
        <is>
          <t>m250270</t>
        </is>
      </c>
      <c r="B44" s="3">
        <f>IFERROR(VLOOKUP(A44,Students!$A:$B,2,FALSE),"")</f>
        <v/>
      </c>
      <c r="C44" s="3" t="inlineStr">
        <is>
          <t>Spring 2025</t>
        </is>
      </c>
      <c r="D44" s="3" t="inlineStr">
        <is>
          <t>Semester 1</t>
        </is>
      </c>
      <c r="E44" s="3" t="inlineStr">
        <is>
          <t>TAM 557</t>
        </is>
      </c>
      <c r="F44" s="3">
        <f>IFERROR(VLOOKUP(E44,Courses!$A:$C,2,FALSE),"")</f>
        <v/>
      </c>
      <c r="G44" s="3">
        <f>IFERROR(VLOOKUP(E44,Courses!$A:$C,3,FALSE),0)</f>
        <v/>
      </c>
      <c r="H44" s="3" t="inlineStr">
        <is>
          <t>C+</t>
        </is>
      </c>
      <c r="I44" s="3" t="n">
        <v>78</v>
      </c>
      <c r="J44" s="3">
        <f>IF(H44="","",VLOOKUP(H44,'Grade Scale'!$A:$B,2,FALSE))</f>
        <v/>
      </c>
      <c r="K44" s="3">
        <f>IF(J44="",0,J44*G44)</f>
        <v/>
      </c>
    </row>
    <row r="45">
      <c r="A45" s="3" t="inlineStr">
        <is>
          <t>m250270</t>
        </is>
      </c>
      <c r="B45" s="3">
        <f>IFERROR(VLOOKUP(A45,Students!$A:$B,2,FALSE),"")</f>
        <v/>
      </c>
      <c r="C45" s="3" t="inlineStr">
        <is>
          <t>Spring 2025</t>
        </is>
      </c>
      <c r="D45" s="3" t="inlineStr">
        <is>
          <t>Semester 1</t>
        </is>
      </c>
      <c r="E45" s="3" t="inlineStr">
        <is>
          <t>TAM 542</t>
        </is>
      </c>
      <c r="F45" s="3">
        <f>IFERROR(VLOOKUP(E45,Courses!$A:$C,2,FALSE),"")</f>
        <v/>
      </c>
      <c r="G45" s="3">
        <f>IFERROR(VLOOKUP(E45,Courses!$A:$C,3,FALSE),0)</f>
        <v/>
      </c>
      <c r="H45" s="3" t="inlineStr">
        <is>
          <t>C+</t>
        </is>
      </c>
      <c r="I45" s="3" t="n">
        <v>79</v>
      </c>
      <c r="J45" s="3">
        <f>IF(H45="","",VLOOKUP(H45,'Grade Scale'!$A:$B,2,FALSE))</f>
        <v/>
      </c>
      <c r="K45" s="3">
        <f>IF(J45="",0,J45*G45)</f>
        <v/>
      </c>
    </row>
    <row r="46">
      <c r="A46" s="3" t="inlineStr">
        <is>
          <t>m250270</t>
        </is>
      </c>
      <c r="B46" s="3">
        <f>IFERROR(VLOOKUP(A46,Students!$A:$B,2,FALSE),"")</f>
        <v/>
      </c>
      <c r="C46" s="3" t="inlineStr">
        <is>
          <t>Spring 2025</t>
        </is>
      </c>
      <c r="D46" s="3" t="inlineStr">
        <is>
          <t>Semester 1</t>
        </is>
      </c>
      <c r="E46" s="3" t="inlineStr">
        <is>
          <t>TAM 511</t>
        </is>
      </c>
      <c r="F46" s="3">
        <f>IFERROR(VLOOKUP(E46,Courses!$A:$C,2,FALSE),"")</f>
        <v/>
      </c>
      <c r="G46" s="3">
        <f>IFERROR(VLOOKUP(E46,Courses!$A:$C,3,FALSE),0)</f>
        <v/>
      </c>
      <c r="H46" s="3" t="inlineStr">
        <is>
          <t>C+</t>
        </is>
      </c>
      <c r="I46" s="3" t="n">
        <v>79</v>
      </c>
      <c r="J46" s="3">
        <f>IF(H46="","",VLOOKUP(H46,'Grade Scale'!$A:$B,2,FALSE))</f>
        <v/>
      </c>
      <c r="K46" s="3">
        <f>IF(J46="",0,J46*G46)</f>
        <v/>
      </c>
    </row>
    <row r="47">
      <c r="A47" s="3" t="inlineStr">
        <is>
          <t>m250270</t>
        </is>
      </c>
      <c r="B47" s="3">
        <f>IFERROR(VLOOKUP(A47,Students!$A:$B,2,FALSE),"")</f>
        <v/>
      </c>
      <c r="C47" s="3" t="inlineStr">
        <is>
          <t>Fall 2025</t>
        </is>
      </c>
      <c r="D47" s="3" t="inlineStr">
        <is>
          <t>Semester 2</t>
        </is>
      </c>
      <c r="E47" s="3" t="inlineStr">
        <is>
          <t>IAL 503</t>
        </is>
      </c>
      <c r="F47" s="3">
        <f>IFERROR(VLOOKUP(E47,Courses!$A:$C,2,FALSE),"")</f>
        <v/>
      </c>
      <c r="G47" s="3">
        <f>IFERROR(VLOOKUP(E47,Courses!$A:$C,3,FALSE),0)</f>
        <v/>
      </c>
      <c r="H47" s="3" t="inlineStr">
        <is>
          <t>B</t>
        </is>
      </c>
      <c r="I47" s="3" t="n">
        <v>83</v>
      </c>
      <c r="J47" s="3">
        <f>IF(H47="","",VLOOKUP(H47,'Grade Scale'!$A:$B,2,FALSE))</f>
        <v/>
      </c>
      <c r="K47" s="3">
        <f>IF(J47="",0,J47*G47)</f>
        <v/>
      </c>
    </row>
    <row r="48">
      <c r="A48" s="3" t="inlineStr">
        <is>
          <t>m250270</t>
        </is>
      </c>
      <c r="B48" s="3">
        <f>IFERROR(VLOOKUP(A48,Students!$A:$B,2,FALSE),"")</f>
        <v/>
      </c>
      <c r="C48" s="3" t="inlineStr">
        <is>
          <t>Fall 2025</t>
        </is>
      </c>
      <c r="D48" s="3" t="inlineStr">
        <is>
          <t>Semester 2</t>
        </is>
      </c>
      <c r="E48" s="3" t="inlineStr">
        <is>
          <t>FIN 560</t>
        </is>
      </c>
      <c r="F48" s="3">
        <f>IFERROR(VLOOKUP(E48,Courses!$A:$C,2,FALSE),"")</f>
        <v/>
      </c>
      <c r="G48" s="3">
        <f>IFERROR(VLOOKUP(E48,Courses!$A:$C,3,FALSE),0)</f>
        <v/>
      </c>
      <c r="H48" s="3" t="inlineStr">
        <is>
          <t>B-</t>
        </is>
      </c>
      <c r="I48" s="3" t="n">
        <v>80</v>
      </c>
      <c r="J48" s="3">
        <f>IF(H48="","",VLOOKUP(H48,'Grade Scale'!$A:$B,2,FALSE))</f>
        <v/>
      </c>
      <c r="K48" s="3">
        <f>IF(J48="",0,J48*G48)</f>
        <v/>
      </c>
    </row>
    <row r="49">
      <c r="A49" s="3" t="inlineStr">
        <is>
          <t>m250270</t>
        </is>
      </c>
      <c r="B49" s="3">
        <f>IFERROR(VLOOKUP(A49,Students!$A:$B,2,FALSE),"")</f>
        <v/>
      </c>
      <c r="C49" s="3" t="inlineStr">
        <is>
          <t>Fall 2025</t>
        </is>
      </c>
      <c r="D49" s="3" t="inlineStr">
        <is>
          <t>Semester 2</t>
        </is>
      </c>
      <c r="E49" s="3" t="inlineStr">
        <is>
          <t>TGM 551</t>
        </is>
      </c>
      <c r="F49" s="3">
        <f>IFERROR(VLOOKUP(E49,Courses!$A:$C,2,FALSE),"")</f>
        <v/>
      </c>
      <c r="G49" s="3">
        <f>IFERROR(VLOOKUP(E49,Courses!$A:$C,3,FALSE),0)</f>
        <v/>
      </c>
      <c r="H49" s="3" t="inlineStr">
        <is>
          <t>B</t>
        </is>
      </c>
      <c r="I49" s="3" t="n">
        <v>85</v>
      </c>
      <c r="J49" s="3">
        <f>IF(H49="","",VLOOKUP(H49,'Grade Scale'!$A:$B,2,FALSE))</f>
        <v/>
      </c>
      <c r="K49" s="3">
        <f>IF(J49="",0,J49*G49)</f>
        <v/>
      </c>
    </row>
    <row r="50">
      <c r="A50" s="3" t="inlineStr">
        <is>
          <t>m250270</t>
        </is>
      </c>
      <c r="B50" s="3">
        <f>IFERROR(VLOOKUP(A50,Students!$A:$B,2,FALSE),"")</f>
        <v/>
      </c>
      <c r="C50" s="3" t="inlineStr">
        <is>
          <t>Fall 2025</t>
        </is>
      </c>
      <c r="D50" s="3" t="inlineStr">
        <is>
          <t>Semester 2</t>
        </is>
      </c>
      <c r="E50" s="3" t="inlineStr">
        <is>
          <t>TAM 505</t>
        </is>
      </c>
      <c r="F50" s="3">
        <f>IFERROR(VLOOKUP(E50,Courses!$A:$C,2,FALSE),"")</f>
        <v/>
      </c>
      <c r="G50" s="3">
        <f>IFERROR(VLOOKUP(E50,Courses!$A:$C,3,FALSE),0)</f>
        <v/>
      </c>
      <c r="H50" s="3" t="inlineStr">
        <is>
          <t>B</t>
        </is>
      </c>
      <c r="I50" s="3" t="n">
        <v>83</v>
      </c>
      <c r="J50" s="3">
        <f>IF(H50="","",VLOOKUP(H50,'Grade Scale'!$A:$B,2,FALSE))</f>
        <v/>
      </c>
      <c r="K50" s="3">
        <f>IF(J50="",0,J50*G50)</f>
        <v/>
      </c>
    </row>
    <row r="51">
      <c r="A51" s="3" t="inlineStr">
        <is>
          <t>m250270</t>
        </is>
      </c>
      <c r="B51" s="3">
        <f>IFERROR(VLOOKUP(A51,Students!$A:$B,2,FALSE),"")</f>
        <v/>
      </c>
      <c r="C51" s="3" t="inlineStr">
        <is>
          <t>Fall 2025</t>
        </is>
      </c>
      <c r="D51" s="3" t="inlineStr">
        <is>
          <t>Semester 2</t>
        </is>
      </c>
      <c r="E51" s="3" t="inlineStr">
        <is>
          <t>TGM 507</t>
        </is>
      </c>
      <c r="F51" s="3">
        <f>IFERROR(VLOOKUP(E51,Courses!$A:$C,2,FALSE),"")</f>
        <v/>
      </c>
      <c r="G51" s="3">
        <f>IFERROR(VLOOKUP(E51,Courses!$A:$C,3,FALSE),0)</f>
        <v/>
      </c>
      <c r="H51" s="3" t="inlineStr">
        <is>
          <t>B+</t>
        </is>
      </c>
      <c r="I51" s="3" t="n">
        <v>88</v>
      </c>
      <c r="J51" s="3">
        <f>IF(H51="","",VLOOKUP(H51,'Grade Scale'!$A:$B,2,FALSE))</f>
        <v/>
      </c>
      <c r="K51" s="3">
        <f>IF(J51="",0,J51*G51)</f>
        <v/>
      </c>
    </row>
    <row r="52">
      <c r="A52" s="3" t="inlineStr">
        <is>
          <t>m250270</t>
        </is>
      </c>
      <c r="B52" s="3">
        <f>IFERROR(VLOOKUP(A52,Students!$A:$B,2,FALSE),"")</f>
        <v/>
      </c>
      <c r="C52" s="3" t="inlineStr">
        <is>
          <t>Spring 2026</t>
        </is>
      </c>
      <c r="D52" s="3" t="inlineStr">
        <is>
          <t>Semester 3</t>
        </is>
      </c>
      <c r="E52" s="3" t="inlineStr">
        <is>
          <t>TGM 610</t>
        </is>
      </c>
      <c r="F52" s="3">
        <f>IFERROR(VLOOKUP(E52,Courses!$A:$C,2,FALSE),"")</f>
        <v/>
      </c>
      <c r="G52" s="3">
        <f>IFERROR(VLOOKUP(E52,Courses!$A:$C,3,FALSE),0)</f>
        <v/>
      </c>
      <c r="H52" s="3" t="inlineStr">
        <is>
          <t>B-</t>
        </is>
      </c>
      <c r="I52" s="3" t="n">
        <v>80</v>
      </c>
      <c r="J52" s="3">
        <f>IF(H52="","",VLOOKUP(H52,'Grade Scale'!$A:$B,2,FALSE))</f>
        <v/>
      </c>
      <c r="K52" s="3">
        <f>IF(J52="",0,J52*G52)</f>
        <v/>
      </c>
    </row>
    <row r="53">
      <c r="A53" s="3" t="inlineStr">
        <is>
          <t>m250270</t>
        </is>
      </c>
      <c r="B53" s="3">
        <f>IFERROR(VLOOKUP(A53,Students!$A:$B,2,FALSE),"")</f>
        <v/>
      </c>
      <c r="C53" s="3" t="inlineStr">
        <is>
          <t>Spring 2026</t>
        </is>
      </c>
      <c r="D53" s="3" t="inlineStr">
        <is>
          <t>Semester 3</t>
        </is>
      </c>
      <c r="E53" s="3" t="inlineStr">
        <is>
          <t>TGM 622</t>
        </is>
      </c>
      <c r="F53" s="3">
        <f>IFERROR(VLOOKUP(E53,Courses!$A:$C,2,FALSE),"")</f>
        <v/>
      </c>
      <c r="G53" s="3">
        <f>IFERROR(VLOOKUP(E53,Courses!$A:$C,3,FALSE),0)</f>
        <v/>
      </c>
      <c r="H53" s="3" t="inlineStr">
        <is>
          <t>B-</t>
        </is>
      </c>
      <c r="I53" s="3" t="n">
        <v>82</v>
      </c>
      <c r="J53" s="3">
        <f>IF(H53="","",VLOOKUP(H53,'Grade Scale'!$A:$B,2,FALSE))</f>
        <v/>
      </c>
      <c r="K53" s="3">
        <f>IF(J53="",0,J53*G53)</f>
        <v/>
      </c>
    </row>
    <row r="54">
      <c r="A54" s="3" t="inlineStr">
        <is>
          <t>m250270</t>
        </is>
      </c>
      <c r="B54" s="3">
        <f>IFERROR(VLOOKUP(A54,Students!$A:$B,2,FALSE),"")</f>
        <v/>
      </c>
      <c r="C54" s="3" t="inlineStr">
        <is>
          <t>Spring 2026</t>
        </is>
      </c>
      <c r="D54" s="3" t="inlineStr">
        <is>
          <t>Semester 3</t>
        </is>
      </c>
      <c r="E54" s="3" t="inlineStr">
        <is>
          <t>TAM 615</t>
        </is>
      </c>
      <c r="F54" s="3">
        <f>IFERROR(VLOOKUP(E54,Courses!$A:$C,2,FALSE),"")</f>
        <v/>
      </c>
      <c r="G54" s="3">
        <f>IFERROR(VLOOKUP(E54,Courses!$A:$C,3,FALSE),0)</f>
        <v/>
      </c>
      <c r="H54" s="3" t="inlineStr">
        <is>
          <t>C+</t>
        </is>
      </c>
      <c r="I54" s="3" t="n">
        <v>78</v>
      </c>
      <c r="J54" s="3">
        <f>IF(H54="","",VLOOKUP(H54,'Grade Scale'!$A:$B,2,FALSE))</f>
        <v/>
      </c>
      <c r="K54" s="3">
        <f>IF(J54="",0,J54*G54)</f>
        <v/>
      </c>
    </row>
    <row r="55">
      <c r="A55" s="3" t="inlineStr">
        <is>
          <t>m250270</t>
        </is>
      </c>
      <c r="B55" s="3">
        <f>IFERROR(VLOOKUP(A55,Students!$A:$B,2,FALSE),"")</f>
        <v/>
      </c>
      <c r="C55" s="3" t="inlineStr">
        <is>
          <t>Spring 2026</t>
        </is>
      </c>
      <c r="D55" s="3" t="inlineStr">
        <is>
          <t>Semester 3</t>
        </is>
      </c>
      <c r="E55" s="3" t="inlineStr">
        <is>
          <t>TGM 630</t>
        </is>
      </c>
      <c r="F55" s="3">
        <f>IFERROR(VLOOKUP(E55,Courses!$A:$C,2,FALSE),"")</f>
        <v/>
      </c>
      <c r="G55" s="3">
        <f>IFERROR(VLOOKUP(E55,Courses!$A:$C,3,FALSE),0)</f>
        <v/>
      </c>
      <c r="H55" s="3" t="inlineStr">
        <is>
          <t>B-</t>
        </is>
      </c>
      <c r="I55" s="3" t="n">
        <v>82</v>
      </c>
      <c r="J55" s="3">
        <f>IF(H55="","",VLOOKUP(H55,'Grade Scale'!$A:$B,2,FALSE))</f>
        <v/>
      </c>
      <c r="K55" s="3">
        <f>IF(J55="",0,J55*G55)</f>
        <v/>
      </c>
    </row>
    <row r="56">
      <c r="A56" s="3" t="inlineStr">
        <is>
          <t>m250270</t>
        </is>
      </c>
      <c r="B56" s="3">
        <f>IFERROR(VLOOKUP(A56,Students!$A:$B,2,FALSE),"")</f>
        <v/>
      </c>
      <c r="C56" s="3" t="inlineStr">
        <is>
          <t>Spring 2026</t>
        </is>
      </c>
      <c r="D56" s="3" t="inlineStr">
        <is>
          <t>Semester 3</t>
        </is>
      </c>
      <c r="E56" s="3" t="inlineStr">
        <is>
          <t>TGM 690</t>
        </is>
      </c>
      <c r="F56" s="3">
        <f>IFERROR(VLOOKUP(E56,Courses!$A:$C,2,FALSE),"")</f>
        <v/>
      </c>
      <c r="G56" s="3">
        <f>IFERROR(VLOOKUP(E56,Courses!$A:$C,3,FALSE),0)</f>
        <v/>
      </c>
      <c r="H56" s="3" t="inlineStr">
        <is>
          <t>B</t>
        </is>
      </c>
      <c r="I56" s="3" t="n">
        <v>86</v>
      </c>
      <c r="J56" s="3">
        <f>IF(H56="","",VLOOKUP(H56,'Grade Scale'!$A:$B,2,FALSE))</f>
        <v/>
      </c>
      <c r="K56" s="3">
        <f>IF(J56="",0,J56*G56)</f>
        <v/>
      </c>
    </row>
    <row r="57">
      <c r="A57" s="3" t="inlineStr">
        <is>
          <t>m250271</t>
        </is>
      </c>
      <c r="B57" s="3">
        <f>IFERROR(VLOOKUP(A57,Students!$A:$B,2,FALSE),"")</f>
        <v/>
      </c>
      <c r="C57" s="3" t="inlineStr">
        <is>
          <t>Spring 2025</t>
        </is>
      </c>
      <c r="D57" s="3" t="inlineStr">
        <is>
          <t>Semester 1</t>
        </is>
      </c>
      <c r="E57" s="3" t="inlineStr">
        <is>
          <t>ECO 101</t>
        </is>
      </c>
      <c r="F57" s="3">
        <f>IFERROR(VLOOKUP(E57,Courses!$A:$C,2,FALSE),"")</f>
        <v/>
      </c>
      <c r="G57" s="3">
        <f>IFERROR(VLOOKUP(E57,Courses!$A:$C,3,FALSE),0)</f>
        <v/>
      </c>
      <c r="H57" s="3" t="inlineStr">
        <is>
          <t>A</t>
        </is>
      </c>
      <c r="I57" s="3" t="n">
        <v>94</v>
      </c>
      <c r="J57" s="3">
        <f>IF(H57="","",VLOOKUP(H57,'Grade Scale'!$A:$B,2,FALSE))</f>
        <v/>
      </c>
      <c r="K57" s="3">
        <f>IF(J57="",0,J57*G57)</f>
        <v/>
      </c>
    </row>
    <row r="58">
      <c r="A58" s="3" t="inlineStr">
        <is>
          <t>m250271</t>
        </is>
      </c>
      <c r="B58" s="3">
        <f>IFERROR(VLOOKUP(A58,Students!$A:$B,2,FALSE),"")</f>
        <v/>
      </c>
      <c r="C58" s="3" t="inlineStr">
        <is>
          <t>Spring 2025</t>
        </is>
      </c>
      <c r="D58" s="3" t="inlineStr">
        <is>
          <t>Semester 1</t>
        </is>
      </c>
      <c r="E58" s="3" t="inlineStr">
        <is>
          <t>ACC 101</t>
        </is>
      </c>
      <c r="F58" s="3">
        <f>IFERROR(VLOOKUP(E58,Courses!$A:$C,2,FALSE),"")</f>
        <v/>
      </c>
      <c r="G58" s="3">
        <f>IFERROR(VLOOKUP(E58,Courses!$A:$C,3,FALSE),0)</f>
        <v/>
      </c>
      <c r="H58" s="3" t="inlineStr">
        <is>
          <t>A</t>
        </is>
      </c>
      <c r="I58" s="3" t="n">
        <v>93</v>
      </c>
      <c r="J58" s="3">
        <f>IF(H58="","",VLOOKUP(H58,'Grade Scale'!$A:$B,2,FALSE))</f>
        <v/>
      </c>
      <c r="K58" s="3">
        <f>IF(J58="",0,J58*G58)</f>
        <v/>
      </c>
    </row>
    <row r="59">
      <c r="A59" s="3" t="inlineStr">
        <is>
          <t>m250271</t>
        </is>
      </c>
      <c r="B59" s="3">
        <f>IFERROR(VLOOKUP(A59,Students!$A:$B,2,FALSE),"")</f>
        <v/>
      </c>
      <c r="C59" s="3" t="inlineStr">
        <is>
          <t>Spring 2025</t>
        </is>
      </c>
      <c r="D59" s="3" t="inlineStr">
        <is>
          <t>Semester 1</t>
        </is>
      </c>
      <c r="E59" s="3" t="inlineStr">
        <is>
          <t>MTH 105</t>
        </is>
      </c>
      <c r="F59" s="3">
        <f>IFERROR(VLOOKUP(E59,Courses!$A:$C,2,FALSE),"")</f>
        <v/>
      </c>
      <c r="G59" s="3">
        <f>IFERROR(VLOOKUP(E59,Courses!$A:$C,3,FALSE),0)</f>
        <v/>
      </c>
      <c r="H59" s="3" t="inlineStr">
        <is>
          <t>B+</t>
        </is>
      </c>
      <c r="I59" s="3" t="n">
        <v>88</v>
      </c>
      <c r="J59" s="3">
        <f>IF(H59="","",VLOOKUP(H59,'Grade Scale'!$A:$B,2,FALSE))</f>
        <v/>
      </c>
      <c r="K59" s="3">
        <f>IF(J59="",0,J59*G59)</f>
        <v/>
      </c>
    </row>
    <row r="60">
      <c r="A60" s="3" t="inlineStr">
        <is>
          <t>m250271</t>
        </is>
      </c>
      <c r="B60" s="3">
        <f>IFERROR(VLOOKUP(A60,Students!$A:$B,2,FALSE),"")</f>
        <v/>
      </c>
      <c r="C60" s="3" t="inlineStr">
        <is>
          <t>Spring 2025</t>
        </is>
      </c>
      <c r="D60" s="3" t="inlineStr">
        <is>
          <t>Semester 1</t>
        </is>
      </c>
      <c r="E60" s="3" t="inlineStr">
        <is>
          <t>ENG 101</t>
        </is>
      </c>
      <c r="F60" s="3">
        <f>IFERROR(VLOOKUP(E60,Courses!$A:$C,2,FALSE),"")</f>
        <v/>
      </c>
      <c r="G60" s="3">
        <f>IFERROR(VLOOKUP(E60,Courses!$A:$C,3,FALSE),0)</f>
        <v/>
      </c>
      <c r="H60" s="3" t="inlineStr">
        <is>
          <t>B+</t>
        </is>
      </c>
      <c r="I60" s="3" t="n">
        <v>88</v>
      </c>
      <c r="J60" s="3">
        <f>IF(H60="","",VLOOKUP(H60,'Grade Scale'!$A:$B,2,FALSE))</f>
        <v/>
      </c>
      <c r="K60" s="3">
        <f>IF(J60="",0,J60*G60)</f>
        <v/>
      </c>
    </row>
    <row r="61">
      <c r="A61" s="3" t="inlineStr">
        <is>
          <t>m250271</t>
        </is>
      </c>
      <c r="B61" s="3">
        <f>IFERROR(VLOOKUP(A61,Students!$A:$B,2,FALSE),"")</f>
        <v/>
      </c>
      <c r="C61" s="3" t="inlineStr">
        <is>
          <t>Spring 2025</t>
        </is>
      </c>
      <c r="D61" s="3" t="inlineStr">
        <is>
          <t>Semester 1</t>
        </is>
      </c>
      <c r="E61" s="3" t="inlineStr">
        <is>
          <t>FIN 100</t>
        </is>
      </c>
      <c r="F61" s="3">
        <f>IFERROR(VLOOKUP(E61,Courses!$A:$C,2,FALSE),"")</f>
        <v/>
      </c>
      <c r="G61" s="3">
        <f>IFERROR(VLOOKUP(E61,Courses!$A:$C,3,FALSE),0)</f>
        <v/>
      </c>
      <c r="H61" s="3" t="inlineStr">
        <is>
          <t>A+</t>
        </is>
      </c>
      <c r="I61" s="3" t="n">
        <v>98</v>
      </c>
      <c r="J61" s="3">
        <f>IF(H61="","",VLOOKUP(H61,'Grade Scale'!$A:$B,2,FALSE))</f>
        <v/>
      </c>
      <c r="K61" s="3">
        <f>IF(J61="",0,J61*G61)</f>
        <v/>
      </c>
    </row>
    <row r="62">
      <c r="A62" s="3" t="inlineStr">
        <is>
          <t>m250271</t>
        </is>
      </c>
      <c r="B62" s="3">
        <f>IFERROR(VLOOKUP(A62,Students!$A:$B,2,FALSE),"")</f>
        <v/>
      </c>
      <c r="C62" s="3" t="inlineStr">
        <is>
          <t>Fall 2025</t>
        </is>
      </c>
      <c r="D62" s="3" t="inlineStr">
        <is>
          <t>Semester 2</t>
        </is>
      </c>
      <c r="E62" s="3" t="inlineStr">
        <is>
          <t>ECO 102</t>
        </is>
      </c>
      <c r="F62" s="3">
        <f>IFERROR(VLOOKUP(E62,Courses!$A:$C,2,FALSE),"")</f>
        <v/>
      </c>
      <c r="G62" s="3">
        <f>IFERROR(VLOOKUP(E62,Courses!$A:$C,3,FALSE),0)</f>
        <v/>
      </c>
      <c r="H62" s="3" t="inlineStr">
        <is>
          <t>A+</t>
        </is>
      </c>
      <c r="I62" s="3" t="n">
        <v>99</v>
      </c>
      <c r="J62" s="3">
        <f>IF(H62="","",VLOOKUP(H62,'Grade Scale'!$A:$B,2,FALSE))</f>
        <v/>
      </c>
      <c r="K62" s="3">
        <f>IF(J62="",0,J62*G62)</f>
        <v/>
      </c>
    </row>
    <row r="63">
      <c r="A63" s="3" t="inlineStr">
        <is>
          <t>m250271</t>
        </is>
      </c>
      <c r="B63" s="3">
        <f>IFERROR(VLOOKUP(A63,Students!$A:$B,2,FALSE),"")</f>
        <v/>
      </c>
      <c r="C63" s="3" t="inlineStr">
        <is>
          <t>Fall 2025</t>
        </is>
      </c>
      <c r="D63" s="3" t="inlineStr">
        <is>
          <t>Semester 2</t>
        </is>
      </c>
      <c r="E63" s="3" t="inlineStr">
        <is>
          <t>ACC 102</t>
        </is>
      </c>
      <c r="F63" s="3">
        <f>IFERROR(VLOOKUP(E63,Courses!$A:$C,2,FALSE),"")</f>
        <v/>
      </c>
      <c r="G63" s="3">
        <f>IFERROR(VLOOKUP(E63,Courses!$A:$C,3,FALSE),0)</f>
        <v/>
      </c>
      <c r="H63" s="3" t="inlineStr">
        <is>
          <t>A-</t>
        </is>
      </c>
      <c r="I63" s="3" t="n">
        <v>90</v>
      </c>
      <c r="J63" s="3">
        <f>IF(H63="","",VLOOKUP(H63,'Grade Scale'!$A:$B,2,FALSE))</f>
        <v/>
      </c>
      <c r="K63" s="3">
        <f>IF(J63="",0,J63*G63)</f>
        <v/>
      </c>
    </row>
    <row r="64">
      <c r="A64" s="3" t="inlineStr">
        <is>
          <t>m250271</t>
        </is>
      </c>
      <c r="B64" s="3">
        <f>IFERROR(VLOOKUP(A64,Students!$A:$B,2,FALSE),"")</f>
        <v/>
      </c>
      <c r="C64" s="3" t="inlineStr">
        <is>
          <t>Fall 2025</t>
        </is>
      </c>
      <c r="D64" s="3" t="inlineStr">
        <is>
          <t>Semester 2</t>
        </is>
      </c>
      <c r="E64" s="3" t="inlineStr">
        <is>
          <t>STA 110</t>
        </is>
      </c>
      <c r="F64" s="3">
        <f>IFERROR(VLOOKUP(E64,Courses!$A:$C,2,FALSE),"")</f>
        <v/>
      </c>
      <c r="G64" s="3">
        <f>IFERROR(VLOOKUP(E64,Courses!$A:$C,3,FALSE),0)</f>
        <v/>
      </c>
      <c r="H64" s="3" t="inlineStr">
        <is>
          <t>B+</t>
        </is>
      </c>
      <c r="I64" s="3" t="n">
        <v>89</v>
      </c>
      <c r="J64" s="3">
        <f>IF(H64="","",VLOOKUP(H64,'Grade Scale'!$A:$B,2,FALSE))</f>
        <v/>
      </c>
      <c r="K64" s="3">
        <f>IF(J64="",0,J64*G64)</f>
        <v/>
      </c>
    </row>
    <row r="65">
      <c r="A65" s="3" t="inlineStr">
        <is>
          <t>m250271</t>
        </is>
      </c>
      <c r="B65" s="3">
        <f>IFERROR(VLOOKUP(A65,Students!$A:$B,2,FALSE),"")</f>
        <v/>
      </c>
      <c r="C65" s="3" t="inlineStr">
        <is>
          <t>Fall 2025</t>
        </is>
      </c>
      <c r="D65" s="3" t="inlineStr">
        <is>
          <t>Semester 2</t>
        </is>
      </c>
      <c r="E65" s="3" t="inlineStr">
        <is>
          <t>ENG 102</t>
        </is>
      </c>
      <c r="F65" s="3">
        <f>IFERROR(VLOOKUP(E65,Courses!$A:$C,2,FALSE),"")</f>
        <v/>
      </c>
      <c r="G65" s="3">
        <f>IFERROR(VLOOKUP(E65,Courses!$A:$C,3,FALSE),0)</f>
        <v/>
      </c>
      <c r="H65" s="3" t="inlineStr">
        <is>
          <t>A</t>
        </is>
      </c>
      <c r="I65" s="3" t="n">
        <v>95</v>
      </c>
      <c r="J65" s="3">
        <f>IF(H65="","",VLOOKUP(H65,'Grade Scale'!$A:$B,2,FALSE))</f>
        <v/>
      </c>
      <c r="K65" s="3">
        <f>IF(J65="",0,J65*G65)</f>
        <v/>
      </c>
    </row>
    <row r="66">
      <c r="A66" s="3" t="inlineStr">
        <is>
          <t>m250271</t>
        </is>
      </c>
      <c r="B66" s="3">
        <f>IFERROR(VLOOKUP(A66,Students!$A:$B,2,FALSE),"")</f>
        <v/>
      </c>
      <c r="C66" s="3" t="inlineStr">
        <is>
          <t>Fall 2025</t>
        </is>
      </c>
      <c r="D66" s="3" t="inlineStr">
        <is>
          <t>Semester 2</t>
        </is>
      </c>
      <c r="E66" s="3" t="inlineStr">
        <is>
          <t>FIN 150</t>
        </is>
      </c>
      <c r="F66" s="3">
        <f>IFERROR(VLOOKUP(E66,Courses!$A:$C,2,FALSE),"")</f>
        <v/>
      </c>
      <c r="G66" s="3">
        <f>IFERROR(VLOOKUP(E66,Courses!$A:$C,3,FALSE),0)</f>
        <v/>
      </c>
      <c r="H66" s="3" t="inlineStr">
        <is>
          <t>B</t>
        </is>
      </c>
      <c r="I66" s="3" t="n">
        <v>83</v>
      </c>
      <c r="J66" s="3">
        <f>IF(H66="","",VLOOKUP(H66,'Grade Scale'!$A:$B,2,FALSE))</f>
        <v/>
      </c>
      <c r="K66" s="3">
        <f>IF(J66="",0,J66*G66)</f>
        <v/>
      </c>
    </row>
    <row r="67">
      <c r="A67" s="3" t="inlineStr">
        <is>
          <t>m250271</t>
        </is>
      </c>
      <c r="B67" s="3">
        <f>IFERROR(VLOOKUP(A67,Students!$A:$B,2,FALSE),"")</f>
        <v/>
      </c>
      <c r="C67" s="3" t="inlineStr">
        <is>
          <t>Spring 2026</t>
        </is>
      </c>
      <c r="D67" s="3" t="inlineStr">
        <is>
          <t>Semester 3</t>
        </is>
      </c>
      <c r="E67" s="3" t="inlineStr">
        <is>
          <t>FIN 210</t>
        </is>
      </c>
      <c r="F67" s="3">
        <f>IFERROR(VLOOKUP(E67,Courses!$A:$C,2,FALSE),"")</f>
        <v/>
      </c>
      <c r="G67" s="3">
        <f>IFERROR(VLOOKUP(E67,Courses!$A:$C,3,FALSE),0)</f>
        <v/>
      </c>
      <c r="H67" s="3" t="inlineStr">
        <is>
          <t>A+</t>
        </is>
      </c>
      <c r="I67" s="3" t="n">
        <v>97</v>
      </c>
      <c r="J67" s="3">
        <f>IF(H67="","",VLOOKUP(H67,'Grade Scale'!$A:$B,2,FALSE))</f>
        <v/>
      </c>
      <c r="K67" s="3">
        <f>IF(J67="",0,J67*G67)</f>
        <v/>
      </c>
    </row>
    <row r="68">
      <c r="A68" s="3" t="inlineStr">
        <is>
          <t>m250271</t>
        </is>
      </c>
      <c r="B68" s="3">
        <f>IFERROR(VLOOKUP(A68,Students!$A:$B,2,FALSE),"")</f>
        <v/>
      </c>
      <c r="C68" s="3" t="inlineStr">
        <is>
          <t>Spring 2026</t>
        </is>
      </c>
      <c r="D68" s="3" t="inlineStr">
        <is>
          <t>Semester 3</t>
        </is>
      </c>
      <c r="E68" s="3" t="inlineStr">
        <is>
          <t>FIN 220</t>
        </is>
      </c>
      <c r="F68" s="3">
        <f>IFERROR(VLOOKUP(E68,Courses!$A:$C,2,FALSE),"")</f>
        <v/>
      </c>
      <c r="G68" s="3">
        <f>IFERROR(VLOOKUP(E68,Courses!$A:$C,3,FALSE),0)</f>
        <v/>
      </c>
      <c r="H68" s="3" t="inlineStr">
        <is>
          <t>B+</t>
        </is>
      </c>
      <c r="I68" s="3" t="n">
        <v>87</v>
      </c>
      <c r="J68" s="3">
        <f>IF(H68="","",VLOOKUP(H68,'Grade Scale'!$A:$B,2,FALSE))</f>
        <v/>
      </c>
      <c r="K68" s="3">
        <f>IF(J68="",0,J68*G68)</f>
        <v/>
      </c>
    </row>
    <row r="69">
      <c r="A69" s="3" t="inlineStr">
        <is>
          <t>m250271</t>
        </is>
      </c>
      <c r="B69" s="3">
        <f>IFERROR(VLOOKUP(A69,Students!$A:$B,2,FALSE),"")</f>
        <v/>
      </c>
      <c r="C69" s="3" t="inlineStr">
        <is>
          <t>Spring 2026</t>
        </is>
      </c>
      <c r="D69" s="3" t="inlineStr">
        <is>
          <t>Semester 3</t>
        </is>
      </c>
      <c r="E69" s="3" t="inlineStr">
        <is>
          <t>FIN 230</t>
        </is>
      </c>
      <c r="F69" s="3">
        <f>IFERROR(VLOOKUP(E69,Courses!$A:$C,2,FALSE),"")</f>
        <v/>
      </c>
      <c r="G69" s="3">
        <f>IFERROR(VLOOKUP(E69,Courses!$A:$C,3,FALSE),0)</f>
        <v/>
      </c>
      <c r="H69" s="3" t="inlineStr">
        <is>
          <t>B+</t>
        </is>
      </c>
      <c r="I69" s="3" t="n">
        <v>88</v>
      </c>
      <c r="J69" s="3">
        <f>IF(H69="","",VLOOKUP(H69,'Grade Scale'!$A:$B,2,FALSE))</f>
        <v/>
      </c>
      <c r="K69" s="3">
        <f>IF(J69="",0,J69*G69)</f>
        <v/>
      </c>
    </row>
    <row r="70">
      <c r="A70" s="3" t="inlineStr">
        <is>
          <t>m250271</t>
        </is>
      </c>
      <c r="B70" s="3">
        <f>IFERROR(VLOOKUP(A70,Students!$A:$B,2,FALSE),"")</f>
        <v/>
      </c>
      <c r="C70" s="3" t="inlineStr">
        <is>
          <t>Spring 2026</t>
        </is>
      </c>
      <c r="D70" s="3" t="inlineStr">
        <is>
          <t>Semester 3</t>
        </is>
      </c>
      <c r="E70" s="3" t="inlineStr">
        <is>
          <t>ECO 210</t>
        </is>
      </c>
      <c r="F70" s="3">
        <f>IFERROR(VLOOKUP(E70,Courses!$A:$C,2,FALSE),"")</f>
        <v/>
      </c>
      <c r="G70" s="3">
        <f>IFERROR(VLOOKUP(E70,Courses!$A:$C,3,FALSE),0)</f>
        <v/>
      </c>
      <c r="H70" s="3" t="inlineStr">
        <is>
          <t>A</t>
        </is>
      </c>
      <c r="I70" s="3" t="n">
        <v>96</v>
      </c>
      <c r="J70" s="3">
        <f>IF(H70="","",VLOOKUP(H70,'Grade Scale'!$A:$B,2,FALSE))</f>
        <v/>
      </c>
      <c r="K70" s="3">
        <f>IF(J70="",0,J70*G70)</f>
        <v/>
      </c>
    </row>
    <row r="71">
      <c r="A71" s="3" t="inlineStr">
        <is>
          <t>m250271</t>
        </is>
      </c>
      <c r="B71" s="3">
        <f>IFERROR(VLOOKUP(A71,Students!$A:$B,2,FALSE),"")</f>
        <v/>
      </c>
      <c r="C71" s="3" t="inlineStr">
        <is>
          <t>Spring 2026</t>
        </is>
      </c>
      <c r="D71" s="3" t="inlineStr">
        <is>
          <t>Semester 3</t>
        </is>
      </c>
      <c r="E71" s="3" t="inlineStr">
        <is>
          <t>LAW 201</t>
        </is>
      </c>
      <c r="F71" s="3">
        <f>IFERROR(VLOOKUP(E71,Courses!$A:$C,2,FALSE),"")</f>
        <v/>
      </c>
      <c r="G71" s="3">
        <f>IFERROR(VLOOKUP(E71,Courses!$A:$C,3,FALSE),0)</f>
        <v/>
      </c>
      <c r="H71" s="3" t="inlineStr">
        <is>
          <t>A+</t>
        </is>
      </c>
      <c r="I71" s="3" t="n">
        <v>100</v>
      </c>
      <c r="J71" s="3">
        <f>IF(H71="","",VLOOKUP(H71,'Grade Scale'!$A:$B,2,FALSE))</f>
        <v/>
      </c>
      <c r="K71" s="3">
        <f>IF(J71="",0,J71*G71)</f>
        <v/>
      </c>
    </row>
    <row r="72">
      <c r="A72" s="3" t="inlineStr">
        <is>
          <t>m250272</t>
        </is>
      </c>
      <c r="B72" s="3">
        <f>IFERROR(VLOOKUP(A72,Students!$A:$B,2,FALSE),"")</f>
        <v/>
      </c>
      <c r="C72" s="3" t="inlineStr">
        <is>
          <t>Spring 2025</t>
        </is>
      </c>
      <c r="D72" s="3" t="inlineStr">
        <is>
          <t>Semester 1</t>
        </is>
      </c>
      <c r="E72" s="3" t="inlineStr">
        <is>
          <t>DSC 501</t>
        </is>
      </c>
      <c r="F72" s="3">
        <f>IFERROR(VLOOKUP(E72,Courses!$A:$C,2,FALSE),"")</f>
        <v/>
      </c>
      <c r="G72" s="3">
        <f>IFERROR(VLOOKUP(E72,Courses!$A:$C,3,FALSE),0)</f>
        <v/>
      </c>
      <c r="H72" s="3" t="inlineStr">
        <is>
          <t>B-</t>
        </is>
      </c>
      <c r="I72" s="3" t="n">
        <v>80</v>
      </c>
      <c r="J72" s="3">
        <f>IF(H72="","",VLOOKUP(H72,'Grade Scale'!$A:$B,2,FALSE))</f>
        <v/>
      </c>
      <c r="K72" s="3">
        <f>IF(J72="",0,J72*G72)</f>
        <v/>
      </c>
    </row>
    <row r="73">
      <c r="A73" s="3" t="inlineStr">
        <is>
          <t>m250272</t>
        </is>
      </c>
      <c r="B73" s="3">
        <f>IFERROR(VLOOKUP(A73,Students!$A:$B,2,FALSE),"")</f>
        <v/>
      </c>
      <c r="C73" s="3" t="inlineStr">
        <is>
          <t>Spring 2025</t>
        </is>
      </c>
      <c r="D73" s="3" t="inlineStr">
        <is>
          <t>Semester 1</t>
        </is>
      </c>
      <c r="E73" s="3" t="inlineStr">
        <is>
          <t>DSC 510</t>
        </is>
      </c>
      <c r="F73" s="3">
        <f>IFERROR(VLOOKUP(E73,Courses!$A:$C,2,FALSE),"")</f>
        <v/>
      </c>
      <c r="G73" s="3">
        <f>IFERROR(VLOOKUP(E73,Courses!$A:$C,3,FALSE),0)</f>
        <v/>
      </c>
      <c r="H73" s="3" t="inlineStr">
        <is>
          <t>B+</t>
        </is>
      </c>
      <c r="I73" s="3" t="n">
        <v>89</v>
      </c>
      <c r="J73" s="3">
        <f>IF(H73="","",VLOOKUP(H73,'Grade Scale'!$A:$B,2,FALSE))</f>
        <v/>
      </c>
      <c r="K73" s="3">
        <f>IF(J73="",0,J73*G73)</f>
        <v/>
      </c>
    </row>
    <row r="74">
      <c r="A74" s="3" t="inlineStr">
        <is>
          <t>m250272</t>
        </is>
      </c>
      <c r="B74" s="3">
        <f>IFERROR(VLOOKUP(A74,Students!$A:$B,2,FALSE),"")</f>
        <v/>
      </c>
      <c r="C74" s="3" t="inlineStr">
        <is>
          <t>Spring 2025</t>
        </is>
      </c>
      <c r="D74" s="3" t="inlineStr">
        <is>
          <t>Semester 1</t>
        </is>
      </c>
      <c r="E74" s="3" t="inlineStr">
        <is>
          <t>DSC 520</t>
        </is>
      </c>
      <c r="F74" s="3">
        <f>IFERROR(VLOOKUP(E74,Courses!$A:$C,2,FALSE),"")</f>
        <v/>
      </c>
      <c r="G74" s="3">
        <f>IFERROR(VLOOKUP(E74,Courses!$A:$C,3,FALSE),0)</f>
        <v/>
      </c>
      <c r="H74" s="3" t="inlineStr">
        <is>
          <t>C+</t>
        </is>
      </c>
      <c r="I74" s="3" t="n">
        <v>78</v>
      </c>
      <c r="J74" s="3">
        <f>IF(H74="","",VLOOKUP(H74,'Grade Scale'!$A:$B,2,FALSE))</f>
        <v/>
      </c>
      <c r="K74" s="3">
        <f>IF(J74="",0,J74*G74)</f>
        <v/>
      </c>
    </row>
    <row r="75">
      <c r="A75" s="3" t="inlineStr">
        <is>
          <t>m250272</t>
        </is>
      </c>
      <c r="B75" s="3">
        <f>IFERROR(VLOOKUP(A75,Students!$A:$B,2,FALSE),"")</f>
        <v/>
      </c>
      <c r="C75" s="3" t="inlineStr">
        <is>
          <t>Spring 2025</t>
        </is>
      </c>
      <c r="D75" s="3" t="inlineStr">
        <is>
          <t>Semester 1</t>
        </is>
      </c>
      <c r="E75" s="3" t="inlineStr">
        <is>
          <t>DSC 530</t>
        </is>
      </c>
      <c r="F75" s="3">
        <f>IFERROR(VLOOKUP(E75,Courses!$A:$C,2,FALSE),"")</f>
        <v/>
      </c>
      <c r="G75" s="3">
        <f>IFERROR(VLOOKUP(E75,Courses!$A:$C,3,FALSE),0)</f>
        <v/>
      </c>
      <c r="H75" s="3" t="inlineStr">
        <is>
          <t>A</t>
        </is>
      </c>
      <c r="I75" s="3" t="n">
        <v>95</v>
      </c>
      <c r="J75" s="3">
        <f>IF(H75="","",VLOOKUP(H75,'Grade Scale'!$A:$B,2,FALSE))</f>
        <v/>
      </c>
      <c r="K75" s="3">
        <f>IF(J75="",0,J75*G75)</f>
        <v/>
      </c>
    </row>
    <row r="76">
      <c r="A76" s="3" t="inlineStr">
        <is>
          <t>m250272</t>
        </is>
      </c>
      <c r="B76" s="3">
        <f>IFERROR(VLOOKUP(A76,Students!$A:$B,2,FALSE),"")</f>
        <v/>
      </c>
      <c r="C76" s="3" t="inlineStr">
        <is>
          <t>Spring 2025</t>
        </is>
      </c>
      <c r="D76" s="3" t="inlineStr">
        <is>
          <t>Semester 1</t>
        </is>
      </c>
      <c r="E76" s="3" t="inlineStr">
        <is>
          <t>DSC 540</t>
        </is>
      </c>
      <c r="F76" s="3">
        <f>IFERROR(VLOOKUP(E76,Courses!$A:$C,2,FALSE),"")</f>
        <v/>
      </c>
      <c r="G76" s="3">
        <f>IFERROR(VLOOKUP(E76,Courses!$A:$C,3,FALSE),0)</f>
        <v/>
      </c>
      <c r="H76" s="3" t="inlineStr">
        <is>
          <t>B+</t>
        </is>
      </c>
      <c r="I76" s="3" t="n">
        <v>87</v>
      </c>
      <c r="J76" s="3">
        <f>IF(H76="","",VLOOKUP(H76,'Grade Scale'!$A:$B,2,FALSE))</f>
        <v/>
      </c>
      <c r="K76" s="3">
        <f>IF(J76="",0,J76*G76)</f>
        <v/>
      </c>
    </row>
    <row r="77">
      <c r="A77" s="3" t="inlineStr">
        <is>
          <t>m250272</t>
        </is>
      </c>
      <c r="B77" s="3">
        <f>IFERROR(VLOOKUP(A77,Students!$A:$B,2,FALSE),"")</f>
        <v/>
      </c>
      <c r="C77" s="3" t="inlineStr">
        <is>
          <t>Fall 2025</t>
        </is>
      </c>
      <c r="D77" s="3" t="inlineStr">
        <is>
          <t>Semester 2</t>
        </is>
      </c>
      <c r="E77" s="3" t="inlineStr">
        <is>
          <t>DSC 550</t>
        </is>
      </c>
      <c r="F77" s="3">
        <f>IFERROR(VLOOKUP(E77,Courses!$A:$C,2,FALSE),"")</f>
        <v/>
      </c>
      <c r="G77" s="3">
        <f>IFERROR(VLOOKUP(E77,Courses!$A:$C,3,FALSE),0)</f>
        <v/>
      </c>
      <c r="H77" s="3" t="inlineStr">
        <is>
          <t>B</t>
        </is>
      </c>
      <c r="I77" s="3" t="n">
        <v>84</v>
      </c>
      <c r="J77" s="3">
        <f>IF(H77="","",VLOOKUP(H77,'Grade Scale'!$A:$B,2,FALSE))</f>
        <v/>
      </c>
      <c r="K77" s="3">
        <f>IF(J77="",0,J77*G77)</f>
        <v/>
      </c>
    </row>
    <row r="78">
      <c r="A78" s="3" t="inlineStr">
        <is>
          <t>m250272</t>
        </is>
      </c>
      <c r="B78" s="3">
        <f>IFERROR(VLOOKUP(A78,Students!$A:$B,2,FALSE),"")</f>
        <v/>
      </c>
      <c r="C78" s="3" t="inlineStr">
        <is>
          <t>Fall 2025</t>
        </is>
      </c>
      <c r="D78" s="3" t="inlineStr">
        <is>
          <t>Semester 2</t>
        </is>
      </c>
      <c r="E78" s="3" t="inlineStr">
        <is>
          <t>DSC 560</t>
        </is>
      </c>
      <c r="F78" s="3">
        <f>IFERROR(VLOOKUP(E78,Courses!$A:$C,2,FALSE),"")</f>
        <v/>
      </c>
      <c r="G78" s="3">
        <f>IFERROR(VLOOKUP(E78,Courses!$A:$C,3,FALSE),0)</f>
        <v/>
      </c>
      <c r="H78" s="3" t="inlineStr">
        <is>
          <t>B</t>
        </is>
      </c>
      <c r="I78" s="3" t="n">
        <v>83</v>
      </c>
      <c r="J78" s="3">
        <f>IF(H78="","",VLOOKUP(H78,'Grade Scale'!$A:$B,2,FALSE))</f>
        <v/>
      </c>
      <c r="K78" s="3">
        <f>IF(J78="",0,J78*G78)</f>
        <v/>
      </c>
    </row>
    <row r="79">
      <c r="A79" s="3" t="inlineStr">
        <is>
          <t>m250272</t>
        </is>
      </c>
      <c r="B79" s="3">
        <f>IFERROR(VLOOKUP(A79,Students!$A:$B,2,FALSE),"")</f>
        <v/>
      </c>
      <c r="C79" s="3" t="inlineStr">
        <is>
          <t>Fall 2025</t>
        </is>
      </c>
      <c r="D79" s="3" t="inlineStr">
        <is>
          <t>Semester 2</t>
        </is>
      </c>
      <c r="E79" s="3" t="inlineStr">
        <is>
          <t>DSC 570</t>
        </is>
      </c>
      <c r="F79" s="3">
        <f>IFERROR(VLOOKUP(E79,Courses!$A:$C,2,FALSE),"")</f>
        <v/>
      </c>
      <c r="G79" s="3">
        <f>IFERROR(VLOOKUP(E79,Courses!$A:$C,3,FALSE),0)</f>
        <v/>
      </c>
      <c r="H79" s="3" t="inlineStr">
        <is>
          <t>C+</t>
        </is>
      </c>
      <c r="I79" s="3" t="n">
        <v>79</v>
      </c>
      <c r="J79" s="3">
        <f>IF(H79="","",VLOOKUP(H79,'Grade Scale'!$A:$B,2,FALSE))</f>
        <v/>
      </c>
      <c r="K79" s="3">
        <f>IF(J79="",0,J79*G79)</f>
        <v/>
      </c>
    </row>
    <row r="80">
      <c r="A80" s="3" t="inlineStr">
        <is>
          <t>m250272</t>
        </is>
      </c>
      <c r="B80" s="3">
        <f>IFERROR(VLOOKUP(A80,Students!$A:$B,2,FALSE),"")</f>
        <v/>
      </c>
      <c r="C80" s="3" t="inlineStr">
        <is>
          <t>Fall 2025</t>
        </is>
      </c>
      <c r="D80" s="3" t="inlineStr">
        <is>
          <t>Semester 2</t>
        </is>
      </c>
      <c r="E80" s="3" t="inlineStr">
        <is>
          <t>DSC 580</t>
        </is>
      </c>
      <c r="F80" s="3">
        <f>IFERROR(VLOOKUP(E80,Courses!$A:$C,2,FALSE),"")</f>
        <v/>
      </c>
      <c r="G80" s="3">
        <f>IFERROR(VLOOKUP(E80,Courses!$A:$C,3,FALSE),0)</f>
        <v/>
      </c>
      <c r="H80" s="3" t="inlineStr">
        <is>
          <t>C+</t>
        </is>
      </c>
      <c r="I80" s="3" t="n">
        <v>78</v>
      </c>
      <c r="J80" s="3">
        <f>IF(H80="","",VLOOKUP(H80,'Grade Scale'!$A:$B,2,FALSE))</f>
        <v/>
      </c>
      <c r="K80" s="3">
        <f>IF(J80="",0,J80*G80)</f>
        <v/>
      </c>
    </row>
    <row r="81">
      <c r="A81" s="3" t="inlineStr">
        <is>
          <t>m250272</t>
        </is>
      </c>
      <c r="B81" s="3">
        <f>IFERROR(VLOOKUP(A81,Students!$A:$B,2,FALSE),"")</f>
        <v/>
      </c>
      <c r="C81" s="3" t="inlineStr">
        <is>
          <t>Fall 2025</t>
        </is>
      </c>
      <c r="D81" s="3" t="inlineStr">
        <is>
          <t>Semester 2</t>
        </is>
      </c>
      <c r="E81" s="3" t="inlineStr">
        <is>
          <t>DSC 590</t>
        </is>
      </c>
      <c r="F81" s="3">
        <f>IFERROR(VLOOKUP(E81,Courses!$A:$C,2,FALSE),"")</f>
        <v/>
      </c>
      <c r="G81" s="3">
        <f>IFERROR(VLOOKUP(E81,Courses!$A:$C,3,FALSE),0)</f>
        <v/>
      </c>
      <c r="H81" s="3" t="inlineStr">
        <is>
          <t>B+</t>
        </is>
      </c>
      <c r="I81" s="3" t="n">
        <v>87</v>
      </c>
      <c r="J81" s="3">
        <f>IF(H81="","",VLOOKUP(H81,'Grade Scale'!$A:$B,2,FALSE))</f>
        <v/>
      </c>
      <c r="K81" s="3">
        <f>IF(J81="",0,J81*G81)</f>
        <v/>
      </c>
    </row>
    <row r="82">
      <c r="A82" s="3" t="inlineStr">
        <is>
          <t>m250272</t>
        </is>
      </c>
      <c r="B82" s="3">
        <f>IFERROR(VLOOKUP(A82,Students!$A:$B,2,FALSE),"")</f>
        <v/>
      </c>
      <c r="C82" s="3" t="inlineStr">
        <is>
          <t>Spring 2026</t>
        </is>
      </c>
      <c r="D82" s="3" t="inlineStr">
        <is>
          <t>Semester 3</t>
        </is>
      </c>
      <c r="E82" s="3" t="inlineStr">
        <is>
          <t>DSC 610</t>
        </is>
      </c>
      <c r="F82" s="3">
        <f>IFERROR(VLOOKUP(E82,Courses!$A:$C,2,FALSE),"")</f>
        <v/>
      </c>
      <c r="G82" s="3">
        <f>IFERROR(VLOOKUP(E82,Courses!$A:$C,3,FALSE),0)</f>
        <v/>
      </c>
      <c r="H82" s="3" t="inlineStr">
        <is>
          <t>B</t>
        </is>
      </c>
      <c r="I82" s="3" t="n">
        <v>83</v>
      </c>
      <c r="J82" s="3">
        <f>IF(H82="","",VLOOKUP(H82,'Grade Scale'!$A:$B,2,FALSE))</f>
        <v/>
      </c>
      <c r="K82" s="3">
        <f>IF(J82="",0,J82*G82)</f>
        <v/>
      </c>
    </row>
    <row r="83">
      <c r="A83" s="3" t="inlineStr">
        <is>
          <t>m250272</t>
        </is>
      </c>
      <c r="B83" s="3">
        <f>IFERROR(VLOOKUP(A83,Students!$A:$B,2,FALSE),"")</f>
        <v/>
      </c>
      <c r="C83" s="3" t="inlineStr">
        <is>
          <t>Spring 2026</t>
        </is>
      </c>
      <c r="D83" s="3" t="inlineStr">
        <is>
          <t>Semester 3</t>
        </is>
      </c>
      <c r="E83" s="3" t="inlineStr">
        <is>
          <t>DSC 620</t>
        </is>
      </c>
      <c r="F83" s="3">
        <f>IFERROR(VLOOKUP(E83,Courses!$A:$C,2,FALSE),"")</f>
        <v/>
      </c>
      <c r="G83" s="3">
        <f>IFERROR(VLOOKUP(E83,Courses!$A:$C,3,FALSE),0)</f>
        <v/>
      </c>
      <c r="H83" s="3" t="inlineStr">
        <is>
          <t>B</t>
        </is>
      </c>
      <c r="I83" s="3" t="n">
        <v>86</v>
      </c>
      <c r="J83" s="3">
        <f>IF(H83="","",VLOOKUP(H83,'Grade Scale'!$A:$B,2,FALSE))</f>
        <v/>
      </c>
      <c r="K83" s="3">
        <f>IF(J83="",0,J83*G83)</f>
        <v/>
      </c>
    </row>
    <row r="84">
      <c r="A84" s="3" t="inlineStr">
        <is>
          <t>m250272</t>
        </is>
      </c>
      <c r="B84" s="3">
        <f>IFERROR(VLOOKUP(A84,Students!$A:$B,2,FALSE),"")</f>
        <v/>
      </c>
      <c r="C84" s="3" t="inlineStr">
        <is>
          <t>Spring 2026</t>
        </is>
      </c>
      <c r="D84" s="3" t="inlineStr">
        <is>
          <t>Semester 3</t>
        </is>
      </c>
      <c r="E84" s="3" t="inlineStr">
        <is>
          <t>DSC 630</t>
        </is>
      </c>
      <c r="F84" s="3">
        <f>IFERROR(VLOOKUP(E84,Courses!$A:$C,2,FALSE),"")</f>
        <v/>
      </c>
      <c r="G84" s="3">
        <f>IFERROR(VLOOKUP(E84,Courses!$A:$C,3,FALSE),0)</f>
        <v/>
      </c>
      <c r="H84" s="3" t="inlineStr">
        <is>
          <t>B-</t>
        </is>
      </c>
      <c r="I84" s="3" t="n">
        <v>81</v>
      </c>
      <c r="J84" s="3">
        <f>IF(H84="","",VLOOKUP(H84,'Grade Scale'!$A:$B,2,FALSE))</f>
        <v/>
      </c>
      <c r="K84" s="3">
        <f>IF(J84="",0,J84*G84)</f>
        <v/>
      </c>
    </row>
    <row r="85">
      <c r="A85" s="3" t="inlineStr">
        <is>
          <t>m250272</t>
        </is>
      </c>
      <c r="B85" s="3">
        <f>IFERROR(VLOOKUP(A85,Students!$A:$B,2,FALSE),"")</f>
        <v/>
      </c>
      <c r="C85" s="3" t="inlineStr">
        <is>
          <t>Spring 2026</t>
        </is>
      </c>
      <c r="D85" s="3" t="inlineStr">
        <is>
          <t>Semester 3</t>
        </is>
      </c>
      <c r="E85" s="3" t="inlineStr">
        <is>
          <t>DSC 640</t>
        </is>
      </c>
      <c r="F85" s="3">
        <f>IFERROR(VLOOKUP(E85,Courses!$A:$C,2,FALSE),"")</f>
        <v/>
      </c>
      <c r="G85" s="3">
        <f>IFERROR(VLOOKUP(E85,Courses!$A:$C,3,FALSE),0)</f>
        <v/>
      </c>
      <c r="H85" s="3" t="inlineStr">
        <is>
          <t>B-</t>
        </is>
      </c>
      <c r="I85" s="3" t="n">
        <v>81</v>
      </c>
      <c r="J85" s="3">
        <f>IF(H85="","",VLOOKUP(H85,'Grade Scale'!$A:$B,2,FALSE))</f>
        <v/>
      </c>
      <c r="K85" s="3">
        <f>IF(J85="",0,J85*G85)</f>
        <v/>
      </c>
    </row>
    <row r="86">
      <c r="A86" s="3" t="inlineStr">
        <is>
          <t>m250272</t>
        </is>
      </c>
      <c r="B86" s="3">
        <f>IFERROR(VLOOKUP(A86,Students!$A:$B,2,FALSE),"")</f>
        <v/>
      </c>
      <c r="C86" s="3" t="inlineStr">
        <is>
          <t>Spring 2026</t>
        </is>
      </c>
      <c r="D86" s="3" t="inlineStr">
        <is>
          <t>Semester 3</t>
        </is>
      </c>
      <c r="E86" s="3" t="inlineStr">
        <is>
          <t>DSC 690</t>
        </is>
      </c>
      <c r="F86" s="3">
        <f>IFERROR(VLOOKUP(E86,Courses!$A:$C,2,FALSE),"")</f>
        <v/>
      </c>
      <c r="G86" s="3">
        <f>IFERROR(VLOOKUP(E86,Courses!$A:$C,3,FALSE),0)</f>
        <v/>
      </c>
      <c r="H86" s="3" t="inlineStr">
        <is>
          <t>B+</t>
        </is>
      </c>
      <c r="I86" s="3" t="n">
        <v>88</v>
      </c>
      <c r="J86" s="3">
        <f>IF(H86="","",VLOOKUP(H86,'Grade Scale'!$A:$B,2,FALSE))</f>
        <v/>
      </c>
      <c r="K86" s="3">
        <f>IF(J86="",0,J86*G86)</f>
        <v/>
      </c>
    </row>
    <row r="87">
      <c r="A87" s="3" t="inlineStr">
        <is>
          <t>m250273</t>
        </is>
      </c>
      <c r="B87" s="3">
        <f>IFERROR(VLOOKUP(A87,Students!$A:$B,2,FALSE),"")</f>
        <v/>
      </c>
      <c r="C87" s="3" t="inlineStr">
        <is>
          <t>Spring 2025</t>
        </is>
      </c>
      <c r="D87" s="3" t="inlineStr">
        <is>
          <t>Semester 1</t>
        </is>
      </c>
      <c r="E87" s="3" t="inlineStr">
        <is>
          <t>IRL 501</t>
        </is>
      </c>
      <c r="F87" s="3">
        <f>IFERROR(VLOOKUP(E87,Courses!$A:$C,2,FALSE),"")</f>
        <v/>
      </c>
      <c r="G87" s="3">
        <f>IFERROR(VLOOKUP(E87,Courses!$A:$C,3,FALSE),0)</f>
        <v/>
      </c>
      <c r="H87" s="3" t="inlineStr">
        <is>
          <t>B</t>
        </is>
      </c>
      <c r="I87" s="3" t="n">
        <v>83</v>
      </c>
      <c r="J87" s="3">
        <f>IF(H87="","",VLOOKUP(H87,'Grade Scale'!$A:$B,2,FALSE))</f>
        <v/>
      </c>
      <c r="K87" s="3">
        <f>IF(J87="",0,J87*G87)</f>
        <v/>
      </c>
    </row>
    <row r="88">
      <c r="A88" s="3" t="inlineStr">
        <is>
          <t>m250273</t>
        </is>
      </c>
      <c r="B88" s="3">
        <f>IFERROR(VLOOKUP(A88,Students!$A:$B,2,FALSE),"")</f>
        <v/>
      </c>
      <c r="C88" s="3" t="inlineStr">
        <is>
          <t>Spring 2025</t>
        </is>
      </c>
      <c r="D88" s="3" t="inlineStr">
        <is>
          <t>Semester 1</t>
        </is>
      </c>
      <c r="E88" s="3" t="inlineStr">
        <is>
          <t>IRL 510</t>
        </is>
      </c>
      <c r="F88" s="3">
        <f>IFERROR(VLOOKUP(E88,Courses!$A:$C,2,FALSE),"")</f>
        <v/>
      </c>
      <c r="G88" s="3">
        <f>IFERROR(VLOOKUP(E88,Courses!$A:$C,3,FALSE),0)</f>
        <v/>
      </c>
      <c r="H88" s="3" t="inlineStr">
        <is>
          <t>B</t>
        </is>
      </c>
      <c r="I88" s="3" t="n">
        <v>83</v>
      </c>
      <c r="J88" s="3">
        <f>IF(H88="","",VLOOKUP(H88,'Grade Scale'!$A:$B,2,FALSE))</f>
        <v/>
      </c>
      <c r="K88" s="3">
        <f>IF(J88="",0,J88*G88)</f>
        <v/>
      </c>
    </row>
    <row r="89">
      <c r="A89" s="3" t="inlineStr">
        <is>
          <t>m250273</t>
        </is>
      </c>
      <c r="B89" s="3">
        <f>IFERROR(VLOOKUP(A89,Students!$A:$B,2,FALSE),"")</f>
        <v/>
      </c>
      <c r="C89" s="3" t="inlineStr">
        <is>
          <t>Spring 2025</t>
        </is>
      </c>
      <c r="D89" s="3" t="inlineStr">
        <is>
          <t>Semester 1</t>
        </is>
      </c>
      <c r="E89" s="3" t="inlineStr">
        <is>
          <t>IRL 520</t>
        </is>
      </c>
      <c r="F89" s="3">
        <f>IFERROR(VLOOKUP(E89,Courses!$A:$C,2,FALSE),"")</f>
        <v/>
      </c>
      <c r="G89" s="3">
        <f>IFERROR(VLOOKUP(E89,Courses!$A:$C,3,FALSE),0)</f>
        <v/>
      </c>
      <c r="H89" s="3" t="inlineStr">
        <is>
          <t>A</t>
        </is>
      </c>
      <c r="I89" s="3" t="n">
        <v>95</v>
      </c>
      <c r="J89" s="3">
        <f>IF(H89="","",VLOOKUP(H89,'Grade Scale'!$A:$B,2,FALSE))</f>
        <v/>
      </c>
      <c r="K89" s="3">
        <f>IF(J89="",0,J89*G89)</f>
        <v/>
      </c>
    </row>
    <row r="90">
      <c r="A90" s="3" t="inlineStr">
        <is>
          <t>m250273</t>
        </is>
      </c>
      <c r="B90" s="3">
        <f>IFERROR(VLOOKUP(A90,Students!$A:$B,2,FALSE),"")</f>
        <v/>
      </c>
      <c r="C90" s="3" t="inlineStr">
        <is>
          <t>Spring 2025</t>
        </is>
      </c>
      <c r="D90" s="3" t="inlineStr">
        <is>
          <t>Semester 1</t>
        </is>
      </c>
      <c r="E90" s="3" t="inlineStr">
        <is>
          <t>IRL 530</t>
        </is>
      </c>
      <c r="F90" s="3">
        <f>IFERROR(VLOOKUP(E90,Courses!$A:$C,2,FALSE),"")</f>
        <v/>
      </c>
      <c r="G90" s="3">
        <f>IFERROR(VLOOKUP(E90,Courses!$A:$C,3,FALSE),0)</f>
        <v/>
      </c>
      <c r="H90" s="3" t="inlineStr">
        <is>
          <t>A+</t>
        </is>
      </c>
      <c r="I90" s="3" t="n">
        <v>97</v>
      </c>
      <c r="J90" s="3">
        <f>IF(H90="","",VLOOKUP(H90,'Grade Scale'!$A:$B,2,FALSE))</f>
        <v/>
      </c>
      <c r="K90" s="3">
        <f>IF(J90="",0,J90*G90)</f>
        <v/>
      </c>
    </row>
    <row r="91">
      <c r="A91" s="3" t="inlineStr">
        <is>
          <t>m250273</t>
        </is>
      </c>
      <c r="B91" s="3">
        <f>IFERROR(VLOOKUP(A91,Students!$A:$B,2,FALSE),"")</f>
        <v/>
      </c>
      <c r="C91" s="3" t="inlineStr">
        <is>
          <t>Spring 2025</t>
        </is>
      </c>
      <c r="D91" s="3" t="inlineStr">
        <is>
          <t>Semester 1</t>
        </is>
      </c>
      <c r="E91" s="3" t="inlineStr">
        <is>
          <t>IRL 540</t>
        </is>
      </c>
      <c r="F91" s="3">
        <f>IFERROR(VLOOKUP(E91,Courses!$A:$C,2,FALSE),"")</f>
        <v/>
      </c>
      <c r="G91" s="3">
        <f>IFERROR(VLOOKUP(E91,Courses!$A:$C,3,FALSE),0)</f>
        <v/>
      </c>
      <c r="H91" s="3" t="inlineStr">
        <is>
          <t>A-</t>
        </is>
      </c>
      <c r="I91" s="3" t="n">
        <v>91</v>
      </c>
      <c r="J91" s="3">
        <f>IF(H91="","",VLOOKUP(H91,'Grade Scale'!$A:$B,2,FALSE))</f>
        <v/>
      </c>
      <c r="K91" s="3">
        <f>IF(J91="",0,J91*G91)</f>
        <v/>
      </c>
    </row>
    <row r="92">
      <c r="A92" s="3" t="inlineStr">
        <is>
          <t>m250273</t>
        </is>
      </c>
      <c r="B92" s="3">
        <f>IFERROR(VLOOKUP(A92,Students!$A:$B,2,FALSE),"")</f>
        <v/>
      </c>
      <c r="C92" s="3" t="inlineStr">
        <is>
          <t>Fall 2025</t>
        </is>
      </c>
      <c r="D92" s="3" t="inlineStr">
        <is>
          <t>Semester 2</t>
        </is>
      </c>
      <c r="E92" s="3" t="inlineStr">
        <is>
          <t>IRL 550</t>
        </is>
      </c>
      <c r="F92" s="3">
        <f>IFERROR(VLOOKUP(E92,Courses!$A:$C,2,FALSE),"")</f>
        <v/>
      </c>
      <c r="G92" s="3">
        <f>IFERROR(VLOOKUP(E92,Courses!$A:$C,3,FALSE),0)</f>
        <v/>
      </c>
      <c r="H92" s="3" t="inlineStr">
        <is>
          <t>A-</t>
        </is>
      </c>
      <c r="I92" s="3" t="n">
        <v>90</v>
      </c>
      <c r="J92" s="3">
        <f>IF(H92="","",VLOOKUP(H92,'Grade Scale'!$A:$B,2,FALSE))</f>
        <v/>
      </c>
      <c r="K92" s="3">
        <f>IF(J92="",0,J92*G92)</f>
        <v/>
      </c>
    </row>
    <row r="93">
      <c r="A93" s="3" t="inlineStr">
        <is>
          <t>m250273</t>
        </is>
      </c>
      <c r="B93" s="3">
        <f>IFERROR(VLOOKUP(A93,Students!$A:$B,2,FALSE),"")</f>
        <v/>
      </c>
      <c r="C93" s="3" t="inlineStr">
        <is>
          <t>Fall 2025</t>
        </is>
      </c>
      <c r="D93" s="3" t="inlineStr">
        <is>
          <t>Semester 2</t>
        </is>
      </c>
      <c r="E93" s="3" t="inlineStr">
        <is>
          <t>IRL 560</t>
        </is>
      </c>
      <c r="F93" s="3">
        <f>IFERROR(VLOOKUP(E93,Courses!$A:$C,2,FALSE),"")</f>
        <v/>
      </c>
      <c r="G93" s="3">
        <f>IFERROR(VLOOKUP(E93,Courses!$A:$C,3,FALSE),0)</f>
        <v/>
      </c>
      <c r="H93" s="3" t="inlineStr">
        <is>
          <t>B+</t>
        </is>
      </c>
      <c r="I93" s="3" t="n">
        <v>87</v>
      </c>
      <c r="J93" s="3">
        <f>IF(H93="","",VLOOKUP(H93,'Grade Scale'!$A:$B,2,FALSE))</f>
        <v/>
      </c>
      <c r="K93" s="3">
        <f>IF(J93="",0,J93*G93)</f>
        <v/>
      </c>
    </row>
    <row r="94">
      <c r="A94" s="3" t="inlineStr">
        <is>
          <t>m250273</t>
        </is>
      </c>
      <c r="B94" s="3">
        <f>IFERROR(VLOOKUP(A94,Students!$A:$B,2,FALSE),"")</f>
        <v/>
      </c>
      <c r="C94" s="3" t="inlineStr">
        <is>
          <t>Fall 2025</t>
        </is>
      </c>
      <c r="D94" s="3" t="inlineStr">
        <is>
          <t>Semester 2</t>
        </is>
      </c>
      <c r="E94" s="3" t="inlineStr">
        <is>
          <t>IRL 570</t>
        </is>
      </c>
      <c r="F94" s="3">
        <f>IFERROR(VLOOKUP(E94,Courses!$A:$C,2,FALSE),"")</f>
        <v/>
      </c>
      <c r="G94" s="3">
        <f>IFERROR(VLOOKUP(E94,Courses!$A:$C,3,FALSE),0)</f>
        <v/>
      </c>
      <c r="H94" s="3" t="inlineStr">
        <is>
          <t>B</t>
        </is>
      </c>
      <c r="I94" s="3" t="n">
        <v>85</v>
      </c>
      <c r="J94" s="3">
        <f>IF(H94="","",VLOOKUP(H94,'Grade Scale'!$A:$B,2,FALSE))</f>
        <v/>
      </c>
      <c r="K94" s="3">
        <f>IF(J94="",0,J94*G94)</f>
        <v/>
      </c>
    </row>
    <row r="95">
      <c r="A95" s="3" t="inlineStr">
        <is>
          <t>m250273</t>
        </is>
      </c>
      <c r="B95" s="3">
        <f>IFERROR(VLOOKUP(A95,Students!$A:$B,2,FALSE),"")</f>
        <v/>
      </c>
      <c r="C95" s="3" t="inlineStr">
        <is>
          <t>Fall 2025</t>
        </is>
      </c>
      <c r="D95" s="3" t="inlineStr">
        <is>
          <t>Semester 2</t>
        </is>
      </c>
      <c r="E95" s="3" t="inlineStr">
        <is>
          <t>IRL 580</t>
        </is>
      </c>
      <c r="F95" s="3">
        <f>IFERROR(VLOOKUP(E95,Courses!$A:$C,2,FALSE),"")</f>
        <v/>
      </c>
      <c r="G95" s="3">
        <f>IFERROR(VLOOKUP(E95,Courses!$A:$C,3,FALSE),0)</f>
        <v/>
      </c>
      <c r="H95" s="3" t="inlineStr">
        <is>
          <t>B-</t>
        </is>
      </c>
      <c r="I95" s="3" t="n">
        <v>82</v>
      </c>
      <c r="J95" s="3">
        <f>IF(H95="","",VLOOKUP(H95,'Grade Scale'!$A:$B,2,FALSE))</f>
        <v/>
      </c>
      <c r="K95" s="3">
        <f>IF(J95="",0,J95*G95)</f>
        <v/>
      </c>
    </row>
    <row r="96">
      <c r="A96" s="3" t="inlineStr">
        <is>
          <t>m250273</t>
        </is>
      </c>
      <c r="B96" s="3">
        <f>IFERROR(VLOOKUP(A96,Students!$A:$B,2,FALSE),"")</f>
        <v/>
      </c>
      <c r="C96" s="3" t="inlineStr">
        <is>
          <t>Fall 2025</t>
        </is>
      </c>
      <c r="D96" s="3" t="inlineStr">
        <is>
          <t>Semester 2</t>
        </is>
      </c>
      <c r="E96" s="3" t="inlineStr">
        <is>
          <t>IRL 590</t>
        </is>
      </c>
      <c r="F96" s="3">
        <f>IFERROR(VLOOKUP(E96,Courses!$A:$C,2,FALSE),"")</f>
        <v/>
      </c>
      <c r="G96" s="3">
        <f>IFERROR(VLOOKUP(E96,Courses!$A:$C,3,FALSE),0)</f>
        <v/>
      </c>
      <c r="H96" s="3" t="inlineStr">
        <is>
          <t>B</t>
        </is>
      </c>
      <c r="I96" s="3" t="n">
        <v>86</v>
      </c>
      <c r="J96" s="3">
        <f>IF(H96="","",VLOOKUP(H96,'Grade Scale'!$A:$B,2,FALSE))</f>
        <v/>
      </c>
      <c r="K96" s="3">
        <f>IF(J96="",0,J96*G96)</f>
        <v/>
      </c>
    </row>
    <row r="97">
      <c r="A97" s="3" t="inlineStr">
        <is>
          <t>m250273</t>
        </is>
      </c>
      <c r="B97" s="3">
        <f>IFERROR(VLOOKUP(A97,Students!$A:$B,2,FALSE),"")</f>
        <v/>
      </c>
      <c r="C97" s="3" t="inlineStr">
        <is>
          <t>Spring 2026</t>
        </is>
      </c>
      <c r="D97" s="3" t="inlineStr">
        <is>
          <t>Semester 3</t>
        </is>
      </c>
      <c r="E97" s="3" t="inlineStr">
        <is>
          <t>IRL 610</t>
        </is>
      </c>
      <c r="F97" s="3">
        <f>IFERROR(VLOOKUP(E97,Courses!$A:$C,2,FALSE),"")</f>
        <v/>
      </c>
      <c r="G97" s="3">
        <f>IFERROR(VLOOKUP(E97,Courses!$A:$C,3,FALSE),0)</f>
        <v/>
      </c>
      <c r="H97" s="3" t="inlineStr">
        <is>
          <t>A-</t>
        </is>
      </c>
      <c r="I97" s="3" t="n">
        <v>92</v>
      </c>
      <c r="J97" s="3">
        <f>IF(H97="","",VLOOKUP(H97,'Grade Scale'!$A:$B,2,FALSE))</f>
        <v/>
      </c>
      <c r="K97" s="3">
        <f>IF(J97="",0,J97*G97)</f>
        <v/>
      </c>
    </row>
    <row r="98">
      <c r="A98" s="3" t="inlineStr">
        <is>
          <t>m250273</t>
        </is>
      </c>
      <c r="B98" s="3">
        <f>IFERROR(VLOOKUP(A98,Students!$A:$B,2,FALSE),"")</f>
        <v/>
      </c>
      <c r="C98" s="3" t="inlineStr">
        <is>
          <t>Spring 2026</t>
        </is>
      </c>
      <c r="D98" s="3" t="inlineStr">
        <is>
          <t>Semester 3</t>
        </is>
      </c>
      <c r="E98" s="3" t="inlineStr">
        <is>
          <t>IRL 620</t>
        </is>
      </c>
      <c r="F98" s="3">
        <f>IFERROR(VLOOKUP(E98,Courses!$A:$C,2,FALSE),"")</f>
        <v/>
      </c>
      <c r="G98" s="3">
        <f>IFERROR(VLOOKUP(E98,Courses!$A:$C,3,FALSE),0)</f>
        <v/>
      </c>
      <c r="H98" s="3" t="inlineStr">
        <is>
          <t>B</t>
        </is>
      </c>
      <c r="I98" s="3" t="n">
        <v>85</v>
      </c>
      <c r="J98" s="3">
        <f>IF(H98="","",VLOOKUP(H98,'Grade Scale'!$A:$B,2,FALSE))</f>
        <v/>
      </c>
      <c r="K98" s="3">
        <f>IF(J98="",0,J98*G98)</f>
        <v/>
      </c>
    </row>
    <row r="99">
      <c r="A99" s="3" t="inlineStr">
        <is>
          <t>m250273</t>
        </is>
      </c>
      <c r="B99" s="3">
        <f>IFERROR(VLOOKUP(A99,Students!$A:$B,2,FALSE),"")</f>
        <v/>
      </c>
      <c r="C99" s="3" t="inlineStr">
        <is>
          <t>Spring 2026</t>
        </is>
      </c>
      <c r="D99" s="3" t="inlineStr">
        <is>
          <t>Semester 3</t>
        </is>
      </c>
      <c r="E99" s="3" t="inlineStr">
        <is>
          <t>IRL 630</t>
        </is>
      </c>
      <c r="F99" s="3">
        <f>IFERROR(VLOOKUP(E99,Courses!$A:$C,2,FALSE),"")</f>
        <v/>
      </c>
      <c r="G99" s="3">
        <f>IFERROR(VLOOKUP(E99,Courses!$A:$C,3,FALSE),0)</f>
        <v/>
      </c>
      <c r="H99" s="3" t="inlineStr">
        <is>
          <t>B-</t>
        </is>
      </c>
      <c r="I99" s="3" t="n">
        <v>82</v>
      </c>
      <c r="J99" s="3">
        <f>IF(H99="","",VLOOKUP(H99,'Grade Scale'!$A:$B,2,FALSE))</f>
        <v/>
      </c>
      <c r="K99" s="3">
        <f>IF(J99="",0,J99*G99)</f>
        <v/>
      </c>
    </row>
    <row r="100">
      <c r="A100" s="3" t="inlineStr">
        <is>
          <t>m250273</t>
        </is>
      </c>
      <c r="B100" s="3">
        <f>IFERROR(VLOOKUP(A100,Students!$A:$B,2,FALSE),"")</f>
        <v/>
      </c>
      <c r="C100" s="3" t="inlineStr">
        <is>
          <t>Spring 2026</t>
        </is>
      </c>
      <c r="D100" s="3" t="inlineStr">
        <is>
          <t>Semester 3</t>
        </is>
      </c>
      <c r="E100" s="3" t="inlineStr">
        <is>
          <t>IRL 640</t>
        </is>
      </c>
      <c r="F100" s="3">
        <f>IFERROR(VLOOKUP(E100,Courses!$A:$C,2,FALSE),"")</f>
        <v/>
      </c>
      <c r="G100" s="3">
        <f>IFERROR(VLOOKUP(E100,Courses!$A:$C,3,FALSE),0)</f>
        <v/>
      </c>
      <c r="H100" s="3" t="inlineStr">
        <is>
          <t>B+</t>
        </is>
      </c>
      <c r="I100" s="3" t="n">
        <v>89</v>
      </c>
      <c r="J100" s="3">
        <f>IF(H100="","",VLOOKUP(H100,'Grade Scale'!$A:$B,2,FALSE))</f>
        <v/>
      </c>
      <c r="K100" s="3">
        <f>IF(J100="",0,J100*G100)</f>
        <v/>
      </c>
    </row>
    <row r="101">
      <c r="A101" s="3" t="inlineStr">
        <is>
          <t>m250273</t>
        </is>
      </c>
      <c r="B101" s="3">
        <f>IFERROR(VLOOKUP(A101,Students!$A:$B,2,FALSE),"")</f>
        <v/>
      </c>
      <c r="C101" s="3" t="inlineStr">
        <is>
          <t>Spring 2026</t>
        </is>
      </c>
      <c r="D101" s="3" t="inlineStr">
        <is>
          <t>Semester 3</t>
        </is>
      </c>
      <c r="E101" s="3" t="inlineStr">
        <is>
          <t>IRL 690</t>
        </is>
      </c>
      <c r="F101" s="3">
        <f>IFERROR(VLOOKUP(E101,Courses!$A:$C,2,FALSE),"")</f>
        <v/>
      </c>
      <c r="G101" s="3">
        <f>IFERROR(VLOOKUP(E101,Courses!$A:$C,3,FALSE),0)</f>
        <v/>
      </c>
      <c r="H101" s="3" t="inlineStr">
        <is>
          <t>A-</t>
        </is>
      </c>
      <c r="I101" s="3" t="n">
        <v>90</v>
      </c>
      <c r="J101" s="3">
        <f>IF(H101="","",VLOOKUP(H101,'Grade Scale'!$A:$B,2,FALSE))</f>
        <v/>
      </c>
      <c r="K101" s="3">
        <f>IF(J101="",0,J101*G101)</f>
        <v/>
      </c>
    </row>
    <row r="102">
      <c r="A102" s="3" t="inlineStr">
        <is>
          <t>m250274</t>
        </is>
      </c>
      <c r="B102" s="3">
        <f>IFERROR(VLOOKUP(A102,Students!$A:$B,2,FALSE),"")</f>
        <v/>
      </c>
      <c r="C102" s="3" t="inlineStr">
        <is>
          <t>Spring 2025</t>
        </is>
      </c>
      <c r="D102" s="3" t="inlineStr">
        <is>
          <t>Semester 1</t>
        </is>
      </c>
      <c r="E102" s="3" t="inlineStr">
        <is>
          <t>CIV 101</t>
        </is>
      </c>
      <c r="F102" s="3">
        <f>IFERROR(VLOOKUP(E102,Courses!$A:$C,2,FALSE),"")</f>
        <v/>
      </c>
      <c r="G102" s="3">
        <f>IFERROR(VLOOKUP(E102,Courses!$A:$C,3,FALSE),0)</f>
        <v/>
      </c>
      <c r="H102" s="3" t="inlineStr">
        <is>
          <t>C</t>
        </is>
      </c>
      <c r="I102" s="3" t="n">
        <v>73</v>
      </c>
      <c r="J102" s="3">
        <f>IF(H102="","",VLOOKUP(H102,'Grade Scale'!$A:$B,2,FALSE))</f>
        <v/>
      </c>
      <c r="K102" s="3">
        <f>IF(J102="",0,J102*G102)</f>
        <v/>
      </c>
    </row>
    <row r="103">
      <c r="A103" s="3" t="inlineStr">
        <is>
          <t>m250274</t>
        </is>
      </c>
      <c r="B103" s="3">
        <f>IFERROR(VLOOKUP(A103,Students!$A:$B,2,FALSE),"")</f>
        <v/>
      </c>
      <c r="C103" s="3" t="inlineStr">
        <is>
          <t>Spring 2025</t>
        </is>
      </c>
      <c r="D103" s="3" t="inlineStr">
        <is>
          <t>Semester 1</t>
        </is>
      </c>
      <c r="E103" s="3" t="inlineStr">
        <is>
          <t>MTH 120</t>
        </is>
      </c>
      <c r="F103" s="3">
        <f>IFERROR(VLOOKUP(E103,Courses!$A:$C,2,FALSE),"")</f>
        <v/>
      </c>
      <c r="G103" s="3">
        <f>IFERROR(VLOOKUP(E103,Courses!$A:$C,3,FALSE),0)</f>
        <v/>
      </c>
      <c r="H103" s="3" t="inlineStr">
        <is>
          <t>B</t>
        </is>
      </c>
      <c r="I103" s="3" t="n">
        <v>85</v>
      </c>
      <c r="J103" s="3">
        <f>IF(H103="","",VLOOKUP(H103,'Grade Scale'!$A:$B,2,FALSE))</f>
        <v/>
      </c>
      <c r="K103" s="3">
        <f>IF(J103="",0,J103*G103)</f>
        <v/>
      </c>
    </row>
    <row r="104">
      <c r="A104" s="3" t="inlineStr">
        <is>
          <t>m250274</t>
        </is>
      </c>
      <c r="B104" s="3">
        <f>IFERROR(VLOOKUP(A104,Students!$A:$B,2,FALSE),"")</f>
        <v/>
      </c>
      <c r="C104" s="3" t="inlineStr">
        <is>
          <t>Spring 2025</t>
        </is>
      </c>
      <c r="D104" s="3" t="inlineStr">
        <is>
          <t>Semester 1</t>
        </is>
      </c>
      <c r="E104" s="3" t="inlineStr">
        <is>
          <t>PHY 101</t>
        </is>
      </c>
      <c r="F104" s="3">
        <f>IFERROR(VLOOKUP(E104,Courses!$A:$C,2,FALSE),"")</f>
        <v/>
      </c>
      <c r="G104" s="3">
        <f>IFERROR(VLOOKUP(E104,Courses!$A:$C,3,FALSE),0)</f>
        <v/>
      </c>
      <c r="H104" s="3" t="inlineStr">
        <is>
          <t>C+</t>
        </is>
      </c>
      <c r="I104" s="3" t="n">
        <v>77</v>
      </c>
      <c r="J104" s="3">
        <f>IF(H104="","",VLOOKUP(H104,'Grade Scale'!$A:$B,2,FALSE))</f>
        <v/>
      </c>
      <c r="K104" s="3">
        <f>IF(J104="",0,J104*G104)</f>
        <v/>
      </c>
    </row>
    <row r="105">
      <c r="A105" s="3" t="inlineStr">
        <is>
          <t>m250274</t>
        </is>
      </c>
      <c r="B105" s="3">
        <f>IFERROR(VLOOKUP(A105,Students!$A:$B,2,FALSE),"")</f>
        <v/>
      </c>
      <c r="C105" s="3" t="inlineStr">
        <is>
          <t>Spring 2025</t>
        </is>
      </c>
      <c r="D105" s="3" t="inlineStr">
        <is>
          <t>Semester 1</t>
        </is>
      </c>
      <c r="E105" s="3" t="inlineStr">
        <is>
          <t>ENG 101</t>
        </is>
      </c>
      <c r="F105" s="3">
        <f>IFERROR(VLOOKUP(E105,Courses!$A:$C,2,FALSE),"")</f>
        <v/>
      </c>
      <c r="G105" s="3">
        <f>IFERROR(VLOOKUP(E105,Courses!$A:$C,3,FALSE),0)</f>
        <v/>
      </c>
      <c r="H105" s="3" t="inlineStr">
        <is>
          <t>D</t>
        </is>
      </c>
      <c r="I105" s="3" t="n">
        <v>65</v>
      </c>
      <c r="J105" s="3">
        <f>IF(H105="","",VLOOKUP(H105,'Grade Scale'!$A:$B,2,FALSE))</f>
        <v/>
      </c>
      <c r="K105" s="3">
        <f>IF(J105="",0,J105*G105)</f>
        <v/>
      </c>
    </row>
    <row r="106">
      <c r="A106" s="3" t="inlineStr">
        <is>
          <t>m250274</t>
        </is>
      </c>
      <c r="B106" s="3">
        <f>IFERROR(VLOOKUP(A106,Students!$A:$B,2,FALSE),"")</f>
        <v/>
      </c>
      <c r="C106" s="3" t="inlineStr">
        <is>
          <t>Spring 2025</t>
        </is>
      </c>
      <c r="D106" s="3" t="inlineStr">
        <is>
          <t>Semester 1</t>
        </is>
      </c>
      <c r="E106" s="3" t="inlineStr">
        <is>
          <t>CHM 101</t>
        </is>
      </c>
      <c r="F106" s="3">
        <f>IFERROR(VLOOKUP(E106,Courses!$A:$C,2,FALSE),"")</f>
        <v/>
      </c>
      <c r="G106" s="3">
        <f>IFERROR(VLOOKUP(E106,Courses!$A:$C,3,FALSE),0)</f>
        <v/>
      </c>
      <c r="H106" s="3" t="inlineStr">
        <is>
          <t>C</t>
        </is>
      </c>
      <c r="I106" s="3" t="n">
        <v>73</v>
      </c>
      <c r="J106" s="3">
        <f>IF(H106="","",VLOOKUP(H106,'Grade Scale'!$A:$B,2,FALSE))</f>
        <v/>
      </c>
      <c r="K106" s="3">
        <f>IF(J106="",0,J106*G106)</f>
        <v/>
      </c>
    </row>
    <row r="107">
      <c r="A107" s="3" t="inlineStr">
        <is>
          <t>m250274</t>
        </is>
      </c>
      <c r="B107" s="3">
        <f>IFERROR(VLOOKUP(A107,Students!$A:$B,2,FALSE),"")</f>
        <v/>
      </c>
      <c r="C107" s="3" t="inlineStr">
        <is>
          <t>Fall 2025</t>
        </is>
      </c>
      <c r="D107" s="3" t="inlineStr">
        <is>
          <t>Semester 2</t>
        </is>
      </c>
      <c r="E107" s="3" t="inlineStr">
        <is>
          <t>CIV 150</t>
        </is>
      </c>
      <c r="F107" s="3">
        <f>IFERROR(VLOOKUP(E107,Courses!$A:$C,2,FALSE),"")</f>
        <v/>
      </c>
      <c r="G107" s="3">
        <f>IFERROR(VLOOKUP(E107,Courses!$A:$C,3,FALSE),0)</f>
        <v/>
      </c>
      <c r="H107" s="3" t="inlineStr">
        <is>
          <t>C</t>
        </is>
      </c>
      <c r="I107" s="3" t="n">
        <v>75</v>
      </c>
      <c r="J107" s="3">
        <f>IF(H107="","",VLOOKUP(H107,'Grade Scale'!$A:$B,2,FALSE))</f>
        <v/>
      </c>
      <c r="K107" s="3">
        <f>IF(J107="",0,J107*G107)</f>
        <v/>
      </c>
    </row>
    <row r="108">
      <c r="A108" s="3" t="inlineStr">
        <is>
          <t>m250274</t>
        </is>
      </c>
      <c r="B108" s="3">
        <f>IFERROR(VLOOKUP(A108,Students!$A:$B,2,FALSE),"")</f>
        <v/>
      </c>
      <c r="C108" s="3" t="inlineStr">
        <is>
          <t>Fall 2025</t>
        </is>
      </c>
      <c r="D108" s="3" t="inlineStr">
        <is>
          <t>Semester 2</t>
        </is>
      </c>
      <c r="E108" s="3" t="inlineStr">
        <is>
          <t>MTH 140</t>
        </is>
      </c>
      <c r="F108" s="3">
        <f>IFERROR(VLOOKUP(E108,Courses!$A:$C,2,FALSE),"")</f>
        <v/>
      </c>
      <c r="G108" s="3">
        <f>IFERROR(VLOOKUP(E108,Courses!$A:$C,3,FALSE),0)</f>
        <v/>
      </c>
      <c r="H108" s="3" t="inlineStr">
        <is>
          <t>C</t>
        </is>
      </c>
      <c r="I108" s="3" t="n">
        <v>75</v>
      </c>
      <c r="J108" s="3">
        <f>IF(H108="","",VLOOKUP(H108,'Grade Scale'!$A:$B,2,FALSE))</f>
        <v/>
      </c>
      <c r="K108" s="3">
        <f>IF(J108="",0,J108*G108)</f>
        <v/>
      </c>
    </row>
    <row r="109">
      <c r="A109" s="3" t="inlineStr">
        <is>
          <t>m250274</t>
        </is>
      </c>
      <c r="B109" s="3">
        <f>IFERROR(VLOOKUP(A109,Students!$A:$B,2,FALSE),"")</f>
        <v/>
      </c>
      <c r="C109" s="3" t="inlineStr">
        <is>
          <t>Fall 2025</t>
        </is>
      </c>
      <c r="D109" s="3" t="inlineStr">
        <is>
          <t>Semester 2</t>
        </is>
      </c>
      <c r="E109" s="3" t="inlineStr">
        <is>
          <t>PHY 102</t>
        </is>
      </c>
      <c r="F109" s="3">
        <f>IFERROR(VLOOKUP(E109,Courses!$A:$C,2,FALSE),"")</f>
        <v/>
      </c>
      <c r="G109" s="3">
        <f>IFERROR(VLOOKUP(E109,Courses!$A:$C,3,FALSE),0)</f>
        <v/>
      </c>
      <c r="H109" s="3" t="inlineStr">
        <is>
          <t>C-</t>
        </is>
      </c>
      <c r="I109" s="3" t="n">
        <v>71</v>
      </c>
      <c r="J109" s="3">
        <f>IF(H109="","",VLOOKUP(H109,'Grade Scale'!$A:$B,2,FALSE))</f>
        <v/>
      </c>
      <c r="K109" s="3">
        <f>IF(J109="",0,J109*G109)</f>
        <v/>
      </c>
    </row>
    <row r="110">
      <c r="A110" s="3" t="inlineStr">
        <is>
          <t>m250274</t>
        </is>
      </c>
      <c r="B110" s="3">
        <f>IFERROR(VLOOKUP(A110,Students!$A:$B,2,FALSE),"")</f>
        <v/>
      </c>
      <c r="C110" s="3" t="inlineStr">
        <is>
          <t>Fall 2025</t>
        </is>
      </c>
      <c r="D110" s="3" t="inlineStr">
        <is>
          <t>Semester 2</t>
        </is>
      </c>
      <c r="E110" s="3" t="inlineStr">
        <is>
          <t>ENG 102</t>
        </is>
      </c>
      <c r="F110" s="3">
        <f>IFERROR(VLOOKUP(E110,Courses!$A:$C,2,FALSE),"")</f>
        <v/>
      </c>
      <c r="G110" s="3">
        <f>IFERROR(VLOOKUP(E110,Courses!$A:$C,3,FALSE),0)</f>
        <v/>
      </c>
      <c r="H110" s="3" t="inlineStr">
        <is>
          <t>B</t>
        </is>
      </c>
      <c r="I110" s="3" t="n">
        <v>84</v>
      </c>
      <c r="J110" s="3">
        <f>IF(H110="","",VLOOKUP(H110,'Grade Scale'!$A:$B,2,FALSE))</f>
        <v/>
      </c>
      <c r="K110" s="3">
        <f>IF(J110="",0,J110*G110)</f>
        <v/>
      </c>
    </row>
    <row r="111">
      <c r="A111" s="3" t="inlineStr">
        <is>
          <t>m250274</t>
        </is>
      </c>
      <c r="B111" s="3">
        <f>IFERROR(VLOOKUP(A111,Students!$A:$B,2,FALSE),"")</f>
        <v/>
      </c>
      <c r="C111" s="3" t="inlineStr">
        <is>
          <t>Fall 2025</t>
        </is>
      </c>
      <c r="D111" s="3" t="inlineStr">
        <is>
          <t>Semester 2</t>
        </is>
      </c>
      <c r="E111" s="3" t="inlineStr">
        <is>
          <t>CIV 160</t>
        </is>
      </c>
      <c r="F111" s="3">
        <f>IFERROR(VLOOKUP(E111,Courses!$A:$C,2,FALSE),"")</f>
        <v/>
      </c>
      <c r="G111" s="3">
        <f>IFERROR(VLOOKUP(E111,Courses!$A:$C,3,FALSE),0)</f>
        <v/>
      </c>
      <c r="H111" s="3" t="inlineStr">
        <is>
          <t>B-</t>
        </is>
      </c>
      <c r="I111" s="3" t="n">
        <v>82</v>
      </c>
      <c r="J111" s="3">
        <f>IF(H111="","",VLOOKUP(H111,'Grade Scale'!$A:$B,2,FALSE))</f>
        <v/>
      </c>
      <c r="K111" s="3">
        <f>IF(J111="",0,J111*G111)</f>
        <v/>
      </c>
    </row>
    <row r="112">
      <c r="A112" s="3" t="inlineStr">
        <is>
          <t>m250274</t>
        </is>
      </c>
      <c r="B112" s="3">
        <f>IFERROR(VLOOKUP(A112,Students!$A:$B,2,FALSE),"")</f>
        <v/>
      </c>
      <c r="C112" s="3" t="inlineStr">
        <is>
          <t>Spring 2026</t>
        </is>
      </c>
      <c r="D112" s="3" t="inlineStr">
        <is>
          <t>Semester 3</t>
        </is>
      </c>
      <c r="E112" s="3" t="inlineStr">
        <is>
          <t>CIV 210</t>
        </is>
      </c>
      <c r="F112" s="3">
        <f>IFERROR(VLOOKUP(E112,Courses!$A:$C,2,FALSE),"")</f>
        <v/>
      </c>
      <c r="G112" s="3">
        <f>IFERROR(VLOOKUP(E112,Courses!$A:$C,3,FALSE),0)</f>
        <v/>
      </c>
      <c r="H112" s="3" t="inlineStr">
        <is>
          <t>D</t>
        </is>
      </c>
      <c r="I112" s="3" t="n">
        <v>69</v>
      </c>
      <c r="J112" s="3">
        <f>IF(H112="","",VLOOKUP(H112,'Grade Scale'!$A:$B,2,FALSE))</f>
        <v/>
      </c>
      <c r="K112" s="3">
        <f>IF(J112="",0,J112*G112)</f>
        <v/>
      </c>
    </row>
    <row r="113">
      <c r="A113" s="3" t="inlineStr">
        <is>
          <t>m250274</t>
        </is>
      </c>
      <c r="B113" s="3">
        <f>IFERROR(VLOOKUP(A113,Students!$A:$B,2,FALSE),"")</f>
        <v/>
      </c>
      <c r="C113" s="3" t="inlineStr">
        <is>
          <t>Spring 2026</t>
        </is>
      </c>
      <c r="D113" s="3" t="inlineStr">
        <is>
          <t>Semester 3</t>
        </is>
      </c>
      <c r="E113" s="3" t="inlineStr">
        <is>
          <t>CIV 220</t>
        </is>
      </c>
      <c r="F113" s="3">
        <f>IFERROR(VLOOKUP(E113,Courses!$A:$C,2,FALSE),"")</f>
        <v/>
      </c>
      <c r="G113" s="3">
        <f>IFERROR(VLOOKUP(E113,Courses!$A:$C,3,FALSE),0)</f>
        <v/>
      </c>
      <c r="H113" s="3" t="inlineStr">
        <is>
          <t>B</t>
        </is>
      </c>
      <c r="I113" s="3" t="n">
        <v>86</v>
      </c>
      <c r="J113" s="3">
        <f>IF(H113="","",VLOOKUP(H113,'Grade Scale'!$A:$B,2,FALSE))</f>
        <v/>
      </c>
      <c r="K113" s="3">
        <f>IF(J113="",0,J113*G113)</f>
        <v/>
      </c>
    </row>
    <row r="114">
      <c r="A114" s="3" t="inlineStr">
        <is>
          <t>m250274</t>
        </is>
      </c>
      <c r="B114" s="3">
        <f>IFERROR(VLOOKUP(A114,Students!$A:$B,2,FALSE),"")</f>
        <v/>
      </c>
      <c r="C114" s="3" t="inlineStr">
        <is>
          <t>Spring 2026</t>
        </is>
      </c>
      <c r="D114" s="3" t="inlineStr">
        <is>
          <t>Semester 3</t>
        </is>
      </c>
      <c r="E114" s="3" t="inlineStr">
        <is>
          <t>CIV 230</t>
        </is>
      </c>
      <c r="F114" s="3">
        <f>IFERROR(VLOOKUP(E114,Courses!$A:$C,2,FALSE),"")</f>
        <v/>
      </c>
      <c r="G114" s="3">
        <f>IFERROR(VLOOKUP(E114,Courses!$A:$C,3,FALSE),0)</f>
        <v/>
      </c>
      <c r="H114" s="3" t="inlineStr">
        <is>
          <t>D</t>
        </is>
      </c>
      <c r="I114" s="3" t="n">
        <v>68</v>
      </c>
      <c r="J114" s="3">
        <f>IF(H114="","",VLOOKUP(H114,'Grade Scale'!$A:$B,2,FALSE))</f>
        <v/>
      </c>
      <c r="K114" s="3">
        <f>IF(J114="",0,J114*G114)</f>
        <v/>
      </c>
    </row>
    <row r="115">
      <c r="A115" s="3" t="inlineStr">
        <is>
          <t>m250274</t>
        </is>
      </c>
      <c r="B115" s="3">
        <f>IFERROR(VLOOKUP(A115,Students!$A:$B,2,FALSE),"")</f>
        <v/>
      </c>
      <c r="C115" s="3" t="inlineStr">
        <is>
          <t>Spring 2026</t>
        </is>
      </c>
      <c r="D115" s="3" t="inlineStr">
        <is>
          <t>Semester 3</t>
        </is>
      </c>
      <c r="E115" s="3" t="inlineStr">
        <is>
          <t>MTH 210</t>
        </is>
      </c>
      <c r="F115" s="3">
        <f>IFERROR(VLOOKUP(E115,Courses!$A:$C,2,FALSE),"")</f>
        <v/>
      </c>
      <c r="G115" s="3">
        <f>IFERROR(VLOOKUP(E115,Courses!$A:$C,3,FALSE),0)</f>
        <v/>
      </c>
      <c r="H115" s="3" t="inlineStr">
        <is>
          <t>B</t>
        </is>
      </c>
      <c r="I115" s="3" t="n">
        <v>84</v>
      </c>
      <c r="J115" s="3">
        <f>IF(H115="","",VLOOKUP(H115,'Grade Scale'!$A:$B,2,FALSE))</f>
        <v/>
      </c>
      <c r="K115" s="3">
        <f>IF(J115="",0,J115*G115)</f>
        <v/>
      </c>
    </row>
    <row r="116">
      <c r="A116" s="3" t="inlineStr">
        <is>
          <t>m250274</t>
        </is>
      </c>
      <c r="B116" s="3">
        <f>IFERROR(VLOOKUP(A116,Students!$A:$B,2,FALSE),"")</f>
        <v/>
      </c>
      <c r="C116" s="3" t="inlineStr">
        <is>
          <t>Spring 2026</t>
        </is>
      </c>
      <c r="D116" s="3" t="inlineStr">
        <is>
          <t>Semester 3</t>
        </is>
      </c>
      <c r="E116" s="3" t="inlineStr">
        <is>
          <t>CIV 240</t>
        </is>
      </c>
      <c r="F116" s="3">
        <f>IFERROR(VLOOKUP(E116,Courses!$A:$C,2,FALSE),"")</f>
        <v/>
      </c>
      <c r="G116" s="3">
        <f>IFERROR(VLOOKUP(E116,Courses!$A:$C,3,FALSE),0)</f>
        <v/>
      </c>
      <c r="H116" s="3" t="inlineStr">
        <is>
          <t>B</t>
        </is>
      </c>
      <c r="I116" s="3" t="n">
        <v>84</v>
      </c>
      <c r="J116" s="3">
        <f>IF(H116="","",VLOOKUP(H116,'Grade Scale'!$A:$B,2,FALSE))</f>
        <v/>
      </c>
      <c r="K116" s="3">
        <f>IF(J116="",0,J116*G116)</f>
        <v/>
      </c>
    </row>
    <row r="117">
      <c r="A117" s="3" t="inlineStr">
        <is>
          <t>m250275</t>
        </is>
      </c>
      <c r="B117" s="3">
        <f>IFERROR(VLOOKUP(A117,Students!$A:$B,2,FALSE),"")</f>
        <v/>
      </c>
      <c r="C117" s="3" t="inlineStr">
        <is>
          <t>Spring 2025</t>
        </is>
      </c>
      <c r="D117" s="3" t="inlineStr">
        <is>
          <t>Semester 1</t>
        </is>
      </c>
      <c r="E117" s="3" t="inlineStr">
        <is>
          <t>ART 101</t>
        </is>
      </c>
      <c r="F117" s="3">
        <f>IFERROR(VLOOKUP(E117,Courses!$A:$C,2,FALSE),"")</f>
        <v/>
      </c>
      <c r="G117" s="3">
        <f>IFERROR(VLOOKUP(E117,Courses!$A:$C,3,FALSE),0)</f>
        <v/>
      </c>
      <c r="H117" s="3" t="inlineStr">
        <is>
          <t>B+</t>
        </is>
      </c>
      <c r="I117" s="3" t="n">
        <v>89</v>
      </c>
      <c r="J117" s="3">
        <f>IF(H117="","",VLOOKUP(H117,'Grade Scale'!$A:$B,2,FALSE))</f>
        <v/>
      </c>
      <c r="K117" s="3">
        <f>IF(J117="",0,J117*G117)</f>
        <v/>
      </c>
    </row>
    <row r="118">
      <c r="A118" s="3" t="inlineStr">
        <is>
          <t>m250275</t>
        </is>
      </c>
      <c r="B118" s="3">
        <f>IFERROR(VLOOKUP(A118,Students!$A:$B,2,FALSE),"")</f>
        <v/>
      </c>
      <c r="C118" s="3" t="inlineStr">
        <is>
          <t>Spring 2025</t>
        </is>
      </c>
      <c r="D118" s="3" t="inlineStr">
        <is>
          <t>Semester 1</t>
        </is>
      </c>
      <c r="E118" s="3" t="inlineStr">
        <is>
          <t>DES 101</t>
        </is>
      </c>
      <c r="F118" s="3">
        <f>IFERROR(VLOOKUP(E118,Courses!$A:$C,2,FALSE),"")</f>
        <v/>
      </c>
      <c r="G118" s="3">
        <f>IFERROR(VLOOKUP(E118,Courses!$A:$C,3,FALSE),0)</f>
        <v/>
      </c>
      <c r="H118" s="3" t="inlineStr">
        <is>
          <t>A+</t>
        </is>
      </c>
      <c r="I118" s="3" t="n">
        <v>100</v>
      </c>
      <c r="J118" s="3">
        <f>IF(H118="","",VLOOKUP(H118,'Grade Scale'!$A:$B,2,FALSE))</f>
        <v/>
      </c>
      <c r="K118" s="3">
        <f>IF(J118="",0,J118*G118)</f>
        <v/>
      </c>
    </row>
    <row r="119">
      <c r="A119" s="3" t="inlineStr">
        <is>
          <t>m250275</t>
        </is>
      </c>
      <c r="B119" s="3">
        <f>IFERROR(VLOOKUP(A119,Students!$A:$B,2,FALSE),"")</f>
        <v/>
      </c>
      <c r="C119" s="3" t="inlineStr">
        <is>
          <t>Spring 2025</t>
        </is>
      </c>
      <c r="D119" s="3" t="inlineStr">
        <is>
          <t>Semester 1</t>
        </is>
      </c>
      <c r="E119" s="3" t="inlineStr">
        <is>
          <t>ART 110</t>
        </is>
      </c>
      <c r="F119" s="3">
        <f>IFERROR(VLOOKUP(E119,Courses!$A:$C,2,FALSE),"")</f>
        <v/>
      </c>
      <c r="G119" s="3">
        <f>IFERROR(VLOOKUP(E119,Courses!$A:$C,3,FALSE),0)</f>
        <v/>
      </c>
      <c r="H119" s="3" t="inlineStr">
        <is>
          <t>A+</t>
        </is>
      </c>
      <c r="I119" s="3" t="n">
        <v>97</v>
      </c>
      <c r="J119" s="3">
        <f>IF(H119="","",VLOOKUP(H119,'Grade Scale'!$A:$B,2,FALSE))</f>
        <v/>
      </c>
      <c r="K119" s="3">
        <f>IF(J119="",0,J119*G119)</f>
        <v/>
      </c>
    </row>
    <row r="120">
      <c r="A120" s="3" t="inlineStr">
        <is>
          <t>m250275</t>
        </is>
      </c>
      <c r="B120" s="3">
        <f>IFERROR(VLOOKUP(A120,Students!$A:$B,2,FALSE),"")</f>
        <v/>
      </c>
      <c r="C120" s="3" t="inlineStr">
        <is>
          <t>Spring 2025</t>
        </is>
      </c>
      <c r="D120" s="3" t="inlineStr">
        <is>
          <t>Semester 1</t>
        </is>
      </c>
      <c r="E120" s="3" t="inlineStr">
        <is>
          <t>ENG 101</t>
        </is>
      </c>
      <c r="F120" s="3">
        <f>IFERROR(VLOOKUP(E120,Courses!$A:$C,2,FALSE),"")</f>
        <v/>
      </c>
      <c r="G120" s="3">
        <f>IFERROR(VLOOKUP(E120,Courses!$A:$C,3,FALSE),0)</f>
        <v/>
      </c>
      <c r="H120" s="3" t="inlineStr">
        <is>
          <t>A-</t>
        </is>
      </c>
      <c r="I120" s="3" t="n">
        <v>90</v>
      </c>
      <c r="J120" s="3">
        <f>IF(H120="","",VLOOKUP(H120,'Grade Scale'!$A:$B,2,FALSE))</f>
        <v/>
      </c>
      <c r="K120" s="3">
        <f>IF(J120="",0,J120*G120)</f>
        <v/>
      </c>
    </row>
    <row r="121">
      <c r="A121" s="3" t="inlineStr">
        <is>
          <t>m250275</t>
        </is>
      </c>
      <c r="B121" s="3">
        <f>IFERROR(VLOOKUP(A121,Students!$A:$B,2,FALSE),"")</f>
        <v/>
      </c>
      <c r="C121" s="3" t="inlineStr">
        <is>
          <t>Spring 2025</t>
        </is>
      </c>
      <c r="D121" s="3" t="inlineStr">
        <is>
          <t>Semester 1</t>
        </is>
      </c>
      <c r="E121" s="3" t="inlineStr">
        <is>
          <t>HIS 101</t>
        </is>
      </c>
      <c r="F121" s="3">
        <f>IFERROR(VLOOKUP(E121,Courses!$A:$C,2,FALSE),"")</f>
        <v/>
      </c>
      <c r="G121" s="3">
        <f>IFERROR(VLOOKUP(E121,Courses!$A:$C,3,FALSE),0)</f>
        <v/>
      </c>
      <c r="H121" s="3" t="inlineStr">
        <is>
          <t>A</t>
        </is>
      </c>
      <c r="I121" s="3" t="n">
        <v>93</v>
      </c>
      <c r="J121" s="3">
        <f>IF(H121="","",VLOOKUP(H121,'Grade Scale'!$A:$B,2,FALSE))</f>
        <v/>
      </c>
      <c r="K121" s="3">
        <f>IF(J121="",0,J121*G121)</f>
        <v/>
      </c>
    </row>
    <row r="122">
      <c r="A122" s="3" t="inlineStr">
        <is>
          <t>m250275</t>
        </is>
      </c>
      <c r="B122" s="3">
        <f>IFERROR(VLOOKUP(A122,Students!$A:$B,2,FALSE),"")</f>
        <v/>
      </c>
      <c r="C122" s="3" t="inlineStr">
        <is>
          <t>Fall 2025</t>
        </is>
      </c>
      <c r="D122" s="3" t="inlineStr">
        <is>
          <t>Semester 2</t>
        </is>
      </c>
      <c r="E122" s="3" t="inlineStr">
        <is>
          <t>DES 150</t>
        </is>
      </c>
      <c r="F122" s="3">
        <f>IFERROR(VLOOKUP(E122,Courses!$A:$C,2,FALSE),"")</f>
        <v/>
      </c>
      <c r="G122" s="3">
        <f>IFERROR(VLOOKUP(E122,Courses!$A:$C,3,FALSE),0)</f>
        <v/>
      </c>
      <c r="H122" s="3" t="inlineStr">
        <is>
          <t>A</t>
        </is>
      </c>
      <c r="I122" s="3" t="n">
        <v>93</v>
      </c>
      <c r="J122" s="3">
        <f>IF(H122="","",VLOOKUP(H122,'Grade Scale'!$A:$B,2,FALSE))</f>
        <v/>
      </c>
      <c r="K122" s="3">
        <f>IF(J122="",0,J122*G122)</f>
        <v/>
      </c>
    </row>
    <row r="123">
      <c r="A123" s="3" t="inlineStr">
        <is>
          <t>m250275</t>
        </is>
      </c>
      <c r="B123" s="3">
        <f>IFERROR(VLOOKUP(A123,Students!$A:$B,2,FALSE),"")</f>
        <v/>
      </c>
      <c r="C123" s="3" t="inlineStr">
        <is>
          <t>Fall 2025</t>
        </is>
      </c>
      <c r="D123" s="3" t="inlineStr">
        <is>
          <t>Semester 2</t>
        </is>
      </c>
      <c r="E123" s="3" t="inlineStr">
        <is>
          <t>DES 160</t>
        </is>
      </c>
      <c r="F123" s="3">
        <f>IFERROR(VLOOKUP(E123,Courses!$A:$C,2,FALSE),"")</f>
        <v/>
      </c>
      <c r="G123" s="3">
        <f>IFERROR(VLOOKUP(E123,Courses!$A:$C,3,FALSE),0)</f>
        <v/>
      </c>
      <c r="H123" s="3" t="inlineStr">
        <is>
          <t>A+</t>
        </is>
      </c>
      <c r="I123" s="3" t="n">
        <v>99</v>
      </c>
      <c r="J123" s="3">
        <f>IF(H123="","",VLOOKUP(H123,'Grade Scale'!$A:$B,2,FALSE))</f>
        <v/>
      </c>
      <c r="K123" s="3">
        <f>IF(J123="",0,J123*G123)</f>
        <v/>
      </c>
    </row>
    <row r="124">
      <c r="A124" s="3" t="inlineStr">
        <is>
          <t>m250275</t>
        </is>
      </c>
      <c r="B124" s="3">
        <f>IFERROR(VLOOKUP(A124,Students!$A:$B,2,FALSE),"")</f>
        <v/>
      </c>
      <c r="C124" s="3" t="inlineStr">
        <is>
          <t>Fall 2025</t>
        </is>
      </c>
      <c r="D124" s="3" t="inlineStr">
        <is>
          <t>Semester 2</t>
        </is>
      </c>
      <c r="E124" s="3" t="inlineStr">
        <is>
          <t>DES 170</t>
        </is>
      </c>
      <c r="F124" s="3">
        <f>IFERROR(VLOOKUP(E124,Courses!$A:$C,2,FALSE),"")</f>
        <v/>
      </c>
      <c r="G124" s="3">
        <f>IFERROR(VLOOKUP(E124,Courses!$A:$C,3,FALSE),0)</f>
        <v/>
      </c>
      <c r="H124" s="3" t="inlineStr">
        <is>
          <t>A</t>
        </is>
      </c>
      <c r="I124" s="3" t="n">
        <v>95</v>
      </c>
      <c r="J124" s="3">
        <f>IF(H124="","",VLOOKUP(H124,'Grade Scale'!$A:$B,2,FALSE))</f>
        <v/>
      </c>
      <c r="K124" s="3">
        <f>IF(J124="",0,J124*G124)</f>
        <v/>
      </c>
    </row>
    <row r="125">
      <c r="A125" s="3" t="inlineStr">
        <is>
          <t>m250275</t>
        </is>
      </c>
      <c r="B125" s="3">
        <f>IFERROR(VLOOKUP(A125,Students!$A:$B,2,FALSE),"")</f>
        <v/>
      </c>
      <c r="C125" s="3" t="inlineStr">
        <is>
          <t>Fall 2025</t>
        </is>
      </c>
      <c r="D125" s="3" t="inlineStr">
        <is>
          <t>Semester 2</t>
        </is>
      </c>
      <c r="E125" s="3" t="inlineStr">
        <is>
          <t>ENG 102</t>
        </is>
      </c>
      <c r="F125" s="3">
        <f>IFERROR(VLOOKUP(E125,Courses!$A:$C,2,FALSE),"")</f>
        <v/>
      </c>
      <c r="G125" s="3">
        <f>IFERROR(VLOOKUP(E125,Courses!$A:$C,3,FALSE),0)</f>
        <v/>
      </c>
      <c r="H125" s="3" t="inlineStr">
        <is>
          <t>A+</t>
        </is>
      </c>
      <c r="I125" s="3" t="n">
        <v>100</v>
      </c>
      <c r="J125" s="3">
        <f>IF(H125="","",VLOOKUP(H125,'Grade Scale'!$A:$B,2,FALSE))</f>
        <v/>
      </c>
      <c r="K125" s="3">
        <f>IF(J125="",0,J125*G125)</f>
        <v/>
      </c>
    </row>
    <row r="126">
      <c r="A126" s="3" t="inlineStr">
        <is>
          <t>m250275</t>
        </is>
      </c>
      <c r="B126" s="3">
        <f>IFERROR(VLOOKUP(A126,Students!$A:$B,2,FALSE),"")</f>
        <v/>
      </c>
      <c r="C126" s="3" t="inlineStr">
        <is>
          <t>Fall 2025</t>
        </is>
      </c>
      <c r="D126" s="3" t="inlineStr">
        <is>
          <t>Semester 2</t>
        </is>
      </c>
      <c r="E126" s="3" t="inlineStr">
        <is>
          <t>ART 150</t>
        </is>
      </c>
      <c r="F126" s="3">
        <f>IFERROR(VLOOKUP(E126,Courses!$A:$C,2,FALSE),"")</f>
        <v/>
      </c>
      <c r="G126" s="3">
        <f>IFERROR(VLOOKUP(E126,Courses!$A:$C,3,FALSE),0)</f>
        <v/>
      </c>
      <c r="H126" s="3" t="inlineStr">
        <is>
          <t>A+</t>
        </is>
      </c>
      <c r="I126" s="3" t="n">
        <v>100</v>
      </c>
      <c r="J126" s="3">
        <f>IF(H126="","",VLOOKUP(H126,'Grade Scale'!$A:$B,2,FALSE))</f>
        <v/>
      </c>
      <c r="K126" s="3">
        <f>IF(J126="",0,J126*G126)</f>
        <v/>
      </c>
    </row>
    <row r="127">
      <c r="A127" s="3" t="inlineStr">
        <is>
          <t>m250275</t>
        </is>
      </c>
      <c r="B127" s="3">
        <f>IFERROR(VLOOKUP(A127,Students!$A:$B,2,FALSE),"")</f>
        <v/>
      </c>
      <c r="C127" s="3" t="inlineStr">
        <is>
          <t>Spring 2026</t>
        </is>
      </c>
      <c r="D127" s="3" t="inlineStr">
        <is>
          <t>Semester 3</t>
        </is>
      </c>
      <c r="E127" s="3" t="inlineStr">
        <is>
          <t>DES 210</t>
        </is>
      </c>
      <c r="F127" s="3">
        <f>IFERROR(VLOOKUP(E127,Courses!$A:$C,2,FALSE),"")</f>
        <v/>
      </c>
      <c r="G127" s="3">
        <f>IFERROR(VLOOKUP(E127,Courses!$A:$C,3,FALSE),0)</f>
        <v/>
      </c>
      <c r="H127" s="3" t="inlineStr">
        <is>
          <t>A</t>
        </is>
      </c>
      <c r="I127" s="3" t="n">
        <v>95</v>
      </c>
      <c r="J127" s="3">
        <f>IF(H127="","",VLOOKUP(H127,'Grade Scale'!$A:$B,2,FALSE))</f>
        <v/>
      </c>
      <c r="K127" s="3">
        <f>IF(J127="",0,J127*G127)</f>
        <v/>
      </c>
    </row>
    <row r="128">
      <c r="A128" s="3" t="inlineStr">
        <is>
          <t>m250275</t>
        </is>
      </c>
      <c r="B128" s="3">
        <f>IFERROR(VLOOKUP(A128,Students!$A:$B,2,FALSE),"")</f>
        <v/>
      </c>
      <c r="C128" s="3" t="inlineStr">
        <is>
          <t>Spring 2026</t>
        </is>
      </c>
      <c r="D128" s="3" t="inlineStr">
        <is>
          <t>Semester 3</t>
        </is>
      </c>
      <c r="E128" s="3" t="inlineStr">
        <is>
          <t>DES 220</t>
        </is>
      </c>
      <c r="F128" s="3">
        <f>IFERROR(VLOOKUP(E128,Courses!$A:$C,2,FALSE),"")</f>
        <v/>
      </c>
      <c r="G128" s="3">
        <f>IFERROR(VLOOKUP(E128,Courses!$A:$C,3,FALSE),0)</f>
        <v/>
      </c>
      <c r="H128" s="3" t="inlineStr">
        <is>
          <t>A-</t>
        </is>
      </c>
      <c r="I128" s="3" t="n">
        <v>92</v>
      </c>
      <c r="J128" s="3">
        <f>IF(H128="","",VLOOKUP(H128,'Grade Scale'!$A:$B,2,FALSE))</f>
        <v/>
      </c>
      <c r="K128" s="3">
        <f>IF(J128="",0,J128*G128)</f>
        <v/>
      </c>
    </row>
    <row r="129">
      <c r="A129" s="3" t="inlineStr">
        <is>
          <t>m250275</t>
        </is>
      </c>
      <c r="B129" s="3">
        <f>IFERROR(VLOOKUP(A129,Students!$A:$B,2,FALSE),"")</f>
        <v/>
      </c>
      <c r="C129" s="3" t="inlineStr">
        <is>
          <t>Spring 2026</t>
        </is>
      </c>
      <c r="D129" s="3" t="inlineStr">
        <is>
          <t>Semester 3</t>
        </is>
      </c>
      <c r="E129" s="3" t="inlineStr">
        <is>
          <t>DES 230</t>
        </is>
      </c>
      <c r="F129" s="3">
        <f>IFERROR(VLOOKUP(E129,Courses!$A:$C,2,FALSE),"")</f>
        <v/>
      </c>
      <c r="G129" s="3">
        <f>IFERROR(VLOOKUP(E129,Courses!$A:$C,3,FALSE),0)</f>
        <v/>
      </c>
      <c r="H129" s="3" t="inlineStr">
        <is>
          <t>A+</t>
        </is>
      </c>
      <c r="I129" s="3" t="n">
        <v>100</v>
      </c>
      <c r="J129" s="3">
        <f>IF(H129="","",VLOOKUP(H129,'Grade Scale'!$A:$B,2,FALSE))</f>
        <v/>
      </c>
      <c r="K129" s="3">
        <f>IF(J129="",0,J129*G129)</f>
        <v/>
      </c>
    </row>
    <row r="130">
      <c r="A130" s="3" t="inlineStr">
        <is>
          <t>m250275</t>
        </is>
      </c>
      <c r="B130" s="3">
        <f>IFERROR(VLOOKUP(A130,Students!$A:$B,2,FALSE),"")</f>
        <v/>
      </c>
      <c r="C130" s="3" t="inlineStr">
        <is>
          <t>Spring 2026</t>
        </is>
      </c>
      <c r="D130" s="3" t="inlineStr">
        <is>
          <t>Semester 3</t>
        </is>
      </c>
      <c r="E130" s="3" t="inlineStr">
        <is>
          <t>DES 240</t>
        </is>
      </c>
      <c r="F130" s="3">
        <f>IFERROR(VLOOKUP(E130,Courses!$A:$C,2,FALSE),"")</f>
        <v/>
      </c>
      <c r="G130" s="3">
        <f>IFERROR(VLOOKUP(E130,Courses!$A:$C,3,FALSE),0)</f>
        <v/>
      </c>
      <c r="H130" s="3" t="inlineStr">
        <is>
          <t>A+</t>
        </is>
      </c>
      <c r="I130" s="3" t="n">
        <v>100</v>
      </c>
      <c r="J130" s="3">
        <f>IF(H130="","",VLOOKUP(H130,'Grade Scale'!$A:$B,2,FALSE))</f>
        <v/>
      </c>
      <c r="K130" s="3">
        <f>IF(J130="",0,J130*G130)</f>
        <v/>
      </c>
    </row>
    <row r="131">
      <c r="A131" s="3" t="inlineStr">
        <is>
          <t>m250275</t>
        </is>
      </c>
      <c r="B131" s="3">
        <f>IFERROR(VLOOKUP(A131,Students!$A:$B,2,FALSE),"")</f>
        <v/>
      </c>
      <c r="C131" s="3" t="inlineStr">
        <is>
          <t>Spring 2026</t>
        </is>
      </c>
      <c r="D131" s="3" t="inlineStr">
        <is>
          <t>Semester 3</t>
        </is>
      </c>
      <c r="E131" s="3" t="inlineStr">
        <is>
          <t>DES 250</t>
        </is>
      </c>
      <c r="F131" s="3">
        <f>IFERROR(VLOOKUP(E131,Courses!$A:$C,2,FALSE),"")</f>
        <v/>
      </c>
      <c r="G131" s="3">
        <f>IFERROR(VLOOKUP(E131,Courses!$A:$C,3,FALSE),0)</f>
        <v/>
      </c>
      <c r="H131" s="3" t="inlineStr">
        <is>
          <t>A+</t>
        </is>
      </c>
      <c r="I131" s="3" t="n">
        <v>97</v>
      </c>
      <c r="J131" s="3">
        <f>IF(H131="","",VLOOKUP(H131,'Grade Scale'!$A:$B,2,FALSE))</f>
        <v/>
      </c>
      <c r="K131" s="3">
        <f>IF(J131="",0,J131*G131)</f>
        <v/>
      </c>
    </row>
    <row r="132">
      <c r="A132" s="3" t="inlineStr">
        <is>
          <t>m250276</t>
        </is>
      </c>
      <c r="B132" s="3">
        <f>IFERROR(VLOOKUP(A132,Students!$A:$B,2,FALSE),"")</f>
        <v/>
      </c>
      <c r="C132" s="3" t="inlineStr">
        <is>
          <t>Spring 2025</t>
        </is>
      </c>
      <c r="D132" s="3" t="inlineStr">
        <is>
          <t>Semester 1</t>
        </is>
      </c>
      <c r="E132" s="3" t="inlineStr">
        <is>
          <t>ECO 101</t>
        </is>
      </c>
      <c r="F132" s="3">
        <f>IFERROR(VLOOKUP(E132,Courses!$A:$C,2,FALSE),"")</f>
        <v/>
      </c>
      <c r="G132" s="3">
        <f>IFERROR(VLOOKUP(E132,Courses!$A:$C,3,FALSE),0)</f>
        <v/>
      </c>
      <c r="H132" s="3" t="inlineStr">
        <is>
          <t>C</t>
        </is>
      </c>
      <c r="I132" s="3" t="n">
        <v>76</v>
      </c>
      <c r="J132" s="3">
        <f>IF(H132="","",VLOOKUP(H132,'Grade Scale'!$A:$B,2,FALSE))</f>
        <v/>
      </c>
      <c r="K132" s="3">
        <f>IF(J132="",0,J132*G132)</f>
        <v/>
      </c>
    </row>
    <row r="133">
      <c r="A133" s="3" t="inlineStr">
        <is>
          <t>m250276</t>
        </is>
      </c>
      <c r="B133" s="3">
        <f>IFERROR(VLOOKUP(A133,Students!$A:$B,2,FALSE),"")</f>
        <v/>
      </c>
      <c r="C133" s="3" t="inlineStr">
        <is>
          <t>Spring 2025</t>
        </is>
      </c>
      <c r="D133" s="3" t="inlineStr">
        <is>
          <t>Semester 1</t>
        </is>
      </c>
      <c r="E133" s="3" t="inlineStr">
        <is>
          <t>ACC 101</t>
        </is>
      </c>
      <c r="F133" s="3">
        <f>IFERROR(VLOOKUP(E133,Courses!$A:$C,2,FALSE),"")</f>
        <v/>
      </c>
      <c r="G133" s="3">
        <f>IFERROR(VLOOKUP(E133,Courses!$A:$C,3,FALSE),0)</f>
        <v/>
      </c>
      <c r="H133" s="3" t="inlineStr">
        <is>
          <t>C</t>
        </is>
      </c>
      <c r="I133" s="3" t="n">
        <v>74</v>
      </c>
      <c r="J133" s="3">
        <f>IF(H133="","",VLOOKUP(H133,'Grade Scale'!$A:$B,2,FALSE))</f>
        <v/>
      </c>
      <c r="K133" s="3">
        <f>IF(J133="",0,J133*G133)</f>
        <v/>
      </c>
    </row>
    <row r="134">
      <c r="A134" s="3" t="inlineStr">
        <is>
          <t>m250276</t>
        </is>
      </c>
      <c r="B134" s="3">
        <f>IFERROR(VLOOKUP(A134,Students!$A:$B,2,FALSE),"")</f>
        <v/>
      </c>
      <c r="C134" s="3" t="inlineStr">
        <is>
          <t>Spring 2025</t>
        </is>
      </c>
      <c r="D134" s="3" t="inlineStr">
        <is>
          <t>Semester 1</t>
        </is>
      </c>
      <c r="E134" s="3" t="inlineStr">
        <is>
          <t>MTH 105</t>
        </is>
      </c>
      <c r="F134" s="3">
        <f>IFERROR(VLOOKUP(E134,Courses!$A:$C,2,FALSE),"")</f>
        <v/>
      </c>
      <c r="G134" s="3">
        <f>IFERROR(VLOOKUP(E134,Courses!$A:$C,3,FALSE),0)</f>
        <v/>
      </c>
      <c r="H134" s="3" t="inlineStr">
        <is>
          <t>B+</t>
        </is>
      </c>
      <c r="I134" s="3" t="n">
        <v>87</v>
      </c>
      <c r="J134" s="3">
        <f>IF(H134="","",VLOOKUP(H134,'Grade Scale'!$A:$B,2,FALSE))</f>
        <v/>
      </c>
      <c r="K134" s="3">
        <f>IF(J134="",0,J134*G134)</f>
        <v/>
      </c>
    </row>
    <row r="135">
      <c r="A135" s="3" t="inlineStr">
        <is>
          <t>m250276</t>
        </is>
      </c>
      <c r="B135" s="3">
        <f>IFERROR(VLOOKUP(A135,Students!$A:$B,2,FALSE),"")</f>
        <v/>
      </c>
      <c r="C135" s="3" t="inlineStr">
        <is>
          <t>Spring 2025</t>
        </is>
      </c>
      <c r="D135" s="3" t="inlineStr">
        <is>
          <t>Semester 1</t>
        </is>
      </c>
      <c r="E135" s="3" t="inlineStr">
        <is>
          <t>ENG 101</t>
        </is>
      </c>
      <c r="F135" s="3">
        <f>IFERROR(VLOOKUP(E135,Courses!$A:$C,2,FALSE),"")</f>
        <v/>
      </c>
      <c r="G135" s="3">
        <f>IFERROR(VLOOKUP(E135,Courses!$A:$C,3,FALSE),0)</f>
        <v/>
      </c>
      <c r="H135" s="3" t="inlineStr">
        <is>
          <t>A-</t>
        </is>
      </c>
      <c r="I135" s="3" t="n">
        <v>90</v>
      </c>
      <c r="J135" s="3">
        <f>IF(H135="","",VLOOKUP(H135,'Grade Scale'!$A:$B,2,FALSE))</f>
        <v/>
      </c>
      <c r="K135" s="3">
        <f>IF(J135="",0,J135*G135)</f>
        <v/>
      </c>
    </row>
    <row r="136">
      <c r="A136" s="3" t="inlineStr">
        <is>
          <t>m250276</t>
        </is>
      </c>
      <c r="B136" s="3">
        <f>IFERROR(VLOOKUP(A136,Students!$A:$B,2,FALSE),"")</f>
        <v/>
      </c>
      <c r="C136" s="3" t="inlineStr">
        <is>
          <t>Spring 2025</t>
        </is>
      </c>
      <c r="D136" s="3" t="inlineStr">
        <is>
          <t>Semester 1</t>
        </is>
      </c>
      <c r="E136" s="3" t="inlineStr">
        <is>
          <t>FIN 100</t>
        </is>
      </c>
      <c r="F136" s="3">
        <f>IFERROR(VLOOKUP(E136,Courses!$A:$C,2,FALSE),"")</f>
        <v/>
      </c>
      <c r="G136" s="3">
        <f>IFERROR(VLOOKUP(E136,Courses!$A:$C,3,FALSE),0)</f>
        <v/>
      </c>
      <c r="H136" s="3" t="inlineStr">
        <is>
          <t>B-</t>
        </is>
      </c>
      <c r="I136" s="3" t="n">
        <v>81</v>
      </c>
      <c r="J136" s="3">
        <f>IF(H136="","",VLOOKUP(H136,'Grade Scale'!$A:$B,2,FALSE))</f>
        <v/>
      </c>
      <c r="K136" s="3">
        <f>IF(J136="",0,J136*G136)</f>
        <v/>
      </c>
    </row>
    <row r="137">
      <c r="A137" s="3" t="inlineStr">
        <is>
          <t>m250276</t>
        </is>
      </c>
      <c r="B137" s="3">
        <f>IFERROR(VLOOKUP(A137,Students!$A:$B,2,FALSE),"")</f>
        <v/>
      </c>
      <c r="C137" s="3" t="inlineStr">
        <is>
          <t>Fall 2025</t>
        </is>
      </c>
      <c r="D137" s="3" t="inlineStr">
        <is>
          <t>Semester 2</t>
        </is>
      </c>
      <c r="E137" s="3" t="inlineStr">
        <is>
          <t>ECO 102</t>
        </is>
      </c>
      <c r="F137" s="3">
        <f>IFERROR(VLOOKUP(E137,Courses!$A:$C,2,FALSE),"")</f>
        <v/>
      </c>
      <c r="G137" s="3">
        <f>IFERROR(VLOOKUP(E137,Courses!$A:$C,3,FALSE),0)</f>
        <v/>
      </c>
      <c r="H137" s="3" t="inlineStr">
        <is>
          <t>B+</t>
        </is>
      </c>
      <c r="I137" s="3" t="n">
        <v>89</v>
      </c>
      <c r="J137" s="3">
        <f>IF(H137="","",VLOOKUP(H137,'Grade Scale'!$A:$B,2,FALSE))</f>
        <v/>
      </c>
      <c r="K137" s="3">
        <f>IF(J137="",0,J137*G137)</f>
        <v/>
      </c>
    </row>
    <row r="138">
      <c r="A138" s="3" t="inlineStr">
        <is>
          <t>m250276</t>
        </is>
      </c>
      <c r="B138" s="3">
        <f>IFERROR(VLOOKUP(A138,Students!$A:$B,2,FALSE),"")</f>
        <v/>
      </c>
      <c r="C138" s="3" t="inlineStr">
        <is>
          <t>Fall 2025</t>
        </is>
      </c>
      <c r="D138" s="3" t="inlineStr">
        <is>
          <t>Semester 2</t>
        </is>
      </c>
      <c r="E138" s="3" t="inlineStr">
        <is>
          <t>ACC 102</t>
        </is>
      </c>
      <c r="F138" s="3">
        <f>IFERROR(VLOOKUP(E138,Courses!$A:$C,2,FALSE),"")</f>
        <v/>
      </c>
      <c r="G138" s="3">
        <f>IFERROR(VLOOKUP(E138,Courses!$A:$C,3,FALSE),0)</f>
        <v/>
      </c>
      <c r="H138" s="3" t="inlineStr">
        <is>
          <t>B</t>
        </is>
      </c>
      <c r="I138" s="3" t="n">
        <v>86</v>
      </c>
      <c r="J138" s="3">
        <f>IF(H138="","",VLOOKUP(H138,'Grade Scale'!$A:$B,2,FALSE))</f>
        <v/>
      </c>
      <c r="K138" s="3">
        <f>IF(J138="",0,J138*G138)</f>
        <v/>
      </c>
    </row>
    <row r="139">
      <c r="A139" s="3" t="inlineStr">
        <is>
          <t>m250276</t>
        </is>
      </c>
      <c r="B139" s="3">
        <f>IFERROR(VLOOKUP(A139,Students!$A:$B,2,FALSE),"")</f>
        <v/>
      </c>
      <c r="C139" s="3" t="inlineStr">
        <is>
          <t>Fall 2025</t>
        </is>
      </c>
      <c r="D139" s="3" t="inlineStr">
        <is>
          <t>Semester 2</t>
        </is>
      </c>
      <c r="E139" s="3" t="inlineStr">
        <is>
          <t>STA 110</t>
        </is>
      </c>
      <c r="F139" s="3">
        <f>IFERROR(VLOOKUP(E139,Courses!$A:$C,2,FALSE),"")</f>
        <v/>
      </c>
      <c r="G139" s="3">
        <f>IFERROR(VLOOKUP(E139,Courses!$A:$C,3,FALSE),0)</f>
        <v/>
      </c>
      <c r="H139" s="3" t="inlineStr">
        <is>
          <t>C+</t>
        </is>
      </c>
      <c r="I139" s="3" t="n">
        <v>78</v>
      </c>
      <c r="J139" s="3">
        <f>IF(H139="","",VLOOKUP(H139,'Grade Scale'!$A:$B,2,FALSE))</f>
        <v/>
      </c>
      <c r="K139" s="3">
        <f>IF(J139="",0,J139*G139)</f>
        <v/>
      </c>
    </row>
    <row r="140">
      <c r="A140" s="3" t="inlineStr">
        <is>
          <t>m250276</t>
        </is>
      </c>
      <c r="B140" s="3">
        <f>IFERROR(VLOOKUP(A140,Students!$A:$B,2,FALSE),"")</f>
        <v/>
      </c>
      <c r="C140" s="3" t="inlineStr">
        <is>
          <t>Fall 2025</t>
        </is>
      </c>
      <c r="D140" s="3" t="inlineStr">
        <is>
          <t>Semester 2</t>
        </is>
      </c>
      <c r="E140" s="3" t="inlineStr">
        <is>
          <t>ENG 102</t>
        </is>
      </c>
      <c r="F140" s="3">
        <f>IFERROR(VLOOKUP(E140,Courses!$A:$C,2,FALSE),"")</f>
        <v/>
      </c>
      <c r="G140" s="3">
        <f>IFERROR(VLOOKUP(E140,Courses!$A:$C,3,FALSE),0)</f>
        <v/>
      </c>
      <c r="H140" s="3" t="inlineStr">
        <is>
          <t>B</t>
        </is>
      </c>
      <c r="I140" s="3" t="n">
        <v>83</v>
      </c>
      <c r="J140" s="3">
        <f>IF(H140="","",VLOOKUP(H140,'Grade Scale'!$A:$B,2,FALSE))</f>
        <v/>
      </c>
      <c r="K140" s="3">
        <f>IF(J140="",0,J140*G140)</f>
        <v/>
      </c>
    </row>
    <row r="141">
      <c r="A141" s="3" t="inlineStr">
        <is>
          <t>m250276</t>
        </is>
      </c>
      <c r="B141" s="3">
        <f>IFERROR(VLOOKUP(A141,Students!$A:$B,2,FALSE),"")</f>
        <v/>
      </c>
      <c r="C141" s="3" t="inlineStr">
        <is>
          <t>Fall 2025</t>
        </is>
      </c>
      <c r="D141" s="3" t="inlineStr">
        <is>
          <t>Semester 2</t>
        </is>
      </c>
      <c r="E141" s="3" t="inlineStr">
        <is>
          <t>FIN 150</t>
        </is>
      </c>
      <c r="F141" s="3">
        <f>IFERROR(VLOOKUP(E141,Courses!$A:$C,2,FALSE),"")</f>
        <v/>
      </c>
      <c r="G141" s="3">
        <f>IFERROR(VLOOKUP(E141,Courses!$A:$C,3,FALSE),0)</f>
        <v/>
      </c>
      <c r="H141" s="3" t="inlineStr">
        <is>
          <t>B</t>
        </is>
      </c>
      <c r="I141" s="3" t="n">
        <v>85</v>
      </c>
      <c r="J141" s="3">
        <f>IF(H141="","",VLOOKUP(H141,'Grade Scale'!$A:$B,2,FALSE))</f>
        <v/>
      </c>
      <c r="K141" s="3">
        <f>IF(J141="",0,J141*G141)</f>
        <v/>
      </c>
    </row>
    <row r="142">
      <c r="A142" s="3" t="inlineStr">
        <is>
          <t>m250276</t>
        </is>
      </c>
      <c r="B142" s="3">
        <f>IFERROR(VLOOKUP(A142,Students!$A:$B,2,FALSE),"")</f>
        <v/>
      </c>
      <c r="C142" s="3" t="inlineStr">
        <is>
          <t>Spring 2026</t>
        </is>
      </c>
      <c r="D142" s="3" t="inlineStr">
        <is>
          <t>Semester 3</t>
        </is>
      </c>
      <c r="E142" s="3" t="inlineStr">
        <is>
          <t>FIN 210</t>
        </is>
      </c>
      <c r="F142" s="3">
        <f>IFERROR(VLOOKUP(E142,Courses!$A:$C,2,FALSE),"")</f>
        <v/>
      </c>
      <c r="G142" s="3">
        <f>IFERROR(VLOOKUP(E142,Courses!$A:$C,3,FALSE),0)</f>
        <v/>
      </c>
      <c r="H142" s="3" t="inlineStr">
        <is>
          <t>B</t>
        </is>
      </c>
      <c r="I142" s="3" t="n">
        <v>83</v>
      </c>
      <c r="J142" s="3">
        <f>IF(H142="","",VLOOKUP(H142,'Grade Scale'!$A:$B,2,FALSE))</f>
        <v/>
      </c>
      <c r="K142" s="3">
        <f>IF(J142="",0,J142*G142)</f>
        <v/>
      </c>
    </row>
    <row r="143">
      <c r="A143" s="3" t="inlineStr">
        <is>
          <t>m250276</t>
        </is>
      </c>
      <c r="B143" s="3">
        <f>IFERROR(VLOOKUP(A143,Students!$A:$B,2,FALSE),"")</f>
        <v/>
      </c>
      <c r="C143" s="3" t="inlineStr">
        <is>
          <t>Spring 2026</t>
        </is>
      </c>
      <c r="D143" s="3" t="inlineStr">
        <is>
          <t>Semester 3</t>
        </is>
      </c>
      <c r="E143" s="3" t="inlineStr">
        <is>
          <t>FIN 220</t>
        </is>
      </c>
      <c r="F143" s="3">
        <f>IFERROR(VLOOKUP(E143,Courses!$A:$C,2,FALSE),"")</f>
        <v/>
      </c>
      <c r="G143" s="3">
        <f>IFERROR(VLOOKUP(E143,Courses!$A:$C,3,FALSE),0)</f>
        <v/>
      </c>
      <c r="H143" s="3" t="inlineStr">
        <is>
          <t>B-</t>
        </is>
      </c>
      <c r="I143" s="3" t="n">
        <v>80</v>
      </c>
      <c r="J143" s="3">
        <f>IF(H143="","",VLOOKUP(H143,'Grade Scale'!$A:$B,2,FALSE))</f>
        <v/>
      </c>
      <c r="K143" s="3">
        <f>IF(J143="",0,J143*G143)</f>
        <v/>
      </c>
    </row>
    <row r="144">
      <c r="A144" s="3" t="inlineStr">
        <is>
          <t>m250276</t>
        </is>
      </c>
      <c r="B144" s="3">
        <f>IFERROR(VLOOKUP(A144,Students!$A:$B,2,FALSE),"")</f>
        <v/>
      </c>
      <c r="C144" s="3" t="inlineStr">
        <is>
          <t>Spring 2026</t>
        </is>
      </c>
      <c r="D144" s="3" t="inlineStr">
        <is>
          <t>Semester 3</t>
        </is>
      </c>
      <c r="E144" s="3" t="inlineStr">
        <is>
          <t>FIN 230</t>
        </is>
      </c>
      <c r="F144" s="3">
        <f>IFERROR(VLOOKUP(E144,Courses!$A:$C,2,FALSE),"")</f>
        <v/>
      </c>
      <c r="G144" s="3">
        <f>IFERROR(VLOOKUP(E144,Courses!$A:$C,3,FALSE),0)</f>
        <v/>
      </c>
      <c r="H144" s="3" t="inlineStr">
        <is>
          <t>B-</t>
        </is>
      </c>
      <c r="I144" s="3" t="n">
        <v>81</v>
      </c>
      <c r="J144" s="3">
        <f>IF(H144="","",VLOOKUP(H144,'Grade Scale'!$A:$B,2,FALSE))</f>
        <v/>
      </c>
      <c r="K144" s="3">
        <f>IF(J144="",0,J144*G144)</f>
        <v/>
      </c>
    </row>
    <row r="145">
      <c r="A145" s="3" t="inlineStr">
        <is>
          <t>m250276</t>
        </is>
      </c>
      <c r="B145" s="3">
        <f>IFERROR(VLOOKUP(A145,Students!$A:$B,2,FALSE),"")</f>
        <v/>
      </c>
      <c r="C145" s="3" t="inlineStr">
        <is>
          <t>Spring 2026</t>
        </is>
      </c>
      <c r="D145" s="3" t="inlineStr">
        <is>
          <t>Semester 3</t>
        </is>
      </c>
      <c r="E145" s="3" t="inlineStr">
        <is>
          <t>ECO 210</t>
        </is>
      </c>
      <c r="F145" s="3">
        <f>IFERROR(VLOOKUP(E145,Courses!$A:$C,2,FALSE),"")</f>
        <v/>
      </c>
      <c r="G145" s="3">
        <f>IFERROR(VLOOKUP(E145,Courses!$A:$C,3,FALSE),0)</f>
        <v/>
      </c>
      <c r="H145" s="3" t="inlineStr">
        <is>
          <t>C+</t>
        </is>
      </c>
      <c r="I145" s="3" t="n">
        <v>78</v>
      </c>
      <c r="J145" s="3">
        <f>IF(H145="","",VLOOKUP(H145,'Grade Scale'!$A:$B,2,FALSE))</f>
        <v/>
      </c>
      <c r="K145" s="3">
        <f>IF(J145="",0,J145*G145)</f>
        <v/>
      </c>
    </row>
    <row r="146">
      <c r="A146" s="3" t="inlineStr">
        <is>
          <t>m250276</t>
        </is>
      </c>
      <c r="B146" s="3">
        <f>IFERROR(VLOOKUP(A146,Students!$A:$B,2,FALSE),"")</f>
        <v/>
      </c>
      <c r="C146" s="3" t="inlineStr">
        <is>
          <t>Spring 2026</t>
        </is>
      </c>
      <c r="D146" s="3" t="inlineStr">
        <is>
          <t>Semester 3</t>
        </is>
      </c>
      <c r="E146" s="3" t="inlineStr">
        <is>
          <t>LAW 201</t>
        </is>
      </c>
      <c r="F146" s="3">
        <f>IFERROR(VLOOKUP(E146,Courses!$A:$C,2,FALSE),"")</f>
        <v/>
      </c>
      <c r="G146" s="3">
        <f>IFERROR(VLOOKUP(E146,Courses!$A:$C,3,FALSE),0)</f>
        <v/>
      </c>
      <c r="H146" s="3" t="inlineStr">
        <is>
          <t>B</t>
        </is>
      </c>
      <c r="I146" s="3" t="n">
        <v>85</v>
      </c>
      <c r="J146" s="3">
        <f>IF(H146="","",VLOOKUP(H146,'Grade Scale'!$A:$B,2,FALSE))</f>
        <v/>
      </c>
      <c r="K146" s="3">
        <f>IF(J146="",0,J146*G146)</f>
        <v/>
      </c>
    </row>
    <row r="147">
      <c r="A147" s="3" t="inlineStr">
        <is>
          <t>m250277</t>
        </is>
      </c>
      <c r="B147" s="3">
        <f>IFERROR(VLOOKUP(A147,Students!$A:$B,2,FALSE),"")</f>
        <v/>
      </c>
      <c r="C147" s="3" t="inlineStr">
        <is>
          <t>Spring 2025</t>
        </is>
      </c>
      <c r="D147" s="3" t="inlineStr">
        <is>
          <t>Semester 1</t>
        </is>
      </c>
      <c r="E147" s="3" t="inlineStr">
        <is>
          <t>IRL 501</t>
        </is>
      </c>
      <c r="F147" s="3">
        <f>IFERROR(VLOOKUP(E147,Courses!$A:$C,2,FALSE),"")</f>
        <v/>
      </c>
      <c r="G147" s="3">
        <f>IFERROR(VLOOKUP(E147,Courses!$A:$C,3,FALSE),0)</f>
        <v/>
      </c>
      <c r="H147" s="3" t="inlineStr">
        <is>
          <t>A</t>
        </is>
      </c>
      <c r="I147" s="3" t="n">
        <v>93</v>
      </c>
      <c r="J147" s="3">
        <f>IF(H147="","",VLOOKUP(H147,'Grade Scale'!$A:$B,2,FALSE))</f>
        <v/>
      </c>
      <c r="K147" s="3">
        <f>IF(J147="",0,J147*G147)</f>
        <v/>
      </c>
    </row>
    <row r="148">
      <c r="A148" s="3" t="inlineStr">
        <is>
          <t>m250277</t>
        </is>
      </c>
      <c r="B148" s="3">
        <f>IFERROR(VLOOKUP(A148,Students!$A:$B,2,FALSE),"")</f>
        <v/>
      </c>
      <c r="C148" s="3" t="inlineStr">
        <is>
          <t>Spring 2025</t>
        </is>
      </c>
      <c r="D148" s="3" t="inlineStr">
        <is>
          <t>Semester 1</t>
        </is>
      </c>
      <c r="E148" s="3" t="inlineStr">
        <is>
          <t>IRL 510</t>
        </is>
      </c>
      <c r="F148" s="3">
        <f>IFERROR(VLOOKUP(E148,Courses!$A:$C,2,FALSE),"")</f>
        <v/>
      </c>
      <c r="G148" s="3">
        <f>IFERROR(VLOOKUP(E148,Courses!$A:$C,3,FALSE),0)</f>
        <v/>
      </c>
      <c r="H148" s="3" t="inlineStr">
        <is>
          <t>A-</t>
        </is>
      </c>
      <c r="I148" s="3" t="n">
        <v>92</v>
      </c>
      <c r="J148" s="3">
        <f>IF(H148="","",VLOOKUP(H148,'Grade Scale'!$A:$B,2,FALSE))</f>
        <v/>
      </c>
      <c r="K148" s="3">
        <f>IF(J148="",0,J148*G148)</f>
        <v/>
      </c>
    </row>
    <row r="149">
      <c r="A149" s="3" t="inlineStr">
        <is>
          <t>m250277</t>
        </is>
      </c>
      <c r="B149" s="3">
        <f>IFERROR(VLOOKUP(A149,Students!$A:$B,2,FALSE),"")</f>
        <v/>
      </c>
      <c r="C149" s="3" t="inlineStr">
        <is>
          <t>Spring 2025</t>
        </is>
      </c>
      <c r="D149" s="3" t="inlineStr">
        <is>
          <t>Semester 1</t>
        </is>
      </c>
      <c r="E149" s="3" t="inlineStr">
        <is>
          <t>IRL 520</t>
        </is>
      </c>
      <c r="F149" s="3">
        <f>IFERROR(VLOOKUP(E149,Courses!$A:$C,2,FALSE),"")</f>
        <v/>
      </c>
      <c r="G149" s="3">
        <f>IFERROR(VLOOKUP(E149,Courses!$A:$C,3,FALSE),0)</f>
        <v/>
      </c>
      <c r="H149" s="3" t="inlineStr">
        <is>
          <t>B+</t>
        </is>
      </c>
      <c r="I149" s="3" t="n">
        <v>89</v>
      </c>
      <c r="J149" s="3">
        <f>IF(H149="","",VLOOKUP(H149,'Grade Scale'!$A:$B,2,FALSE))</f>
        <v/>
      </c>
      <c r="K149" s="3">
        <f>IF(J149="",0,J149*G149)</f>
        <v/>
      </c>
    </row>
    <row r="150">
      <c r="A150" s="3" t="inlineStr">
        <is>
          <t>m250277</t>
        </is>
      </c>
      <c r="B150" s="3">
        <f>IFERROR(VLOOKUP(A150,Students!$A:$B,2,FALSE),"")</f>
        <v/>
      </c>
      <c r="C150" s="3" t="inlineStr">
        <is>
          <t>Spring 2025</t>
        </is>
      </c>
      <c r="D150" s="3" t="inlineStr">
        <is>
          <t>Semester 1</t>
        </is>
      </c>
      <c r="E150" s="3" t="inlineStr">
        <is>
          <t>IRL 530</t>
        </is>
      </c>
      <c r="F150" s="3">
        <f>IFERROR(VLOOKUP(E150,Courses!$A:$C,2,FALSE),"")</f>
        <v/>
      </c>
      <c r="G150" s="3">
        <f>IFERROR(VLOOKUP(E150,Courses!$A:$C,3,FALSE),0)</f>
        <v/>
      </c>
      <c r="H150" s="3" t="inlineStr">
        <is>
          <t>A</t>
        </is>
      </c>
      <c r="I150" s="3" t="n">
        <v>93</v>
      </c>
      <c r="J150" s="3">
        <f>IF(H150="","",VLOOKUP(H150,'Grade Scale'!$A:$B,2,FALSE))</f>
        <v/>
      </c>
      <c r="K150" s="3">
        <f>IF(J150="",0,J150*G150)</f>
        <v/>
      </c>
    </row>
    <row r="151">
      <c r="A151" s="3" t="inlineStr">
        <is>
          <t>m250277</t>
        </is>
      </c>
      <c r="B151" s="3">
        <f>IFERROR(VLOOKUP(A151,Students!$A:$B,2,FALSE),"")</f>
        <v/>
      </c>
      <c r="C151" s="3" t="inlineStr">
        <is>
          <t>Spring 2025</t>
        </is>
      </c>
      <c r="D151" s="3" t="inlineStr">
        <is>
          <t>Semester 1</t>
        </is>
      </c>
      <c r="E151" s="3" t="inlineStr">
        <is>
          <t>IRL 540</t>
        </is>
      </c>
      <c r="F151" s="3">
        <f>IFERROR(VLOOKUP(E151,Courses!$A:$C,2,FALSE),"")</f>
        <v/>
      </c>
      <c r="G151" s="3">
        <f>IFERROR(VLOOKUP(E151,Courses!$A:$C,3,FALSE),0)</f>
        <v/>
      </c>
      <c r="H151" s="3" t="inlineStr">
        <is>
          <t>B+</t>
        </is>
      </c>
      <c r="I151" s="3" t="n">
        <v>87</v>
      </c>
      <c r="J151" s="3">
        <f>IF(H151="","",VLOOKUP(H151,'Grade Scale'!$A:$B,2,FALSE))</f>
        <v/>
      </c>
      <c r="K151" s="3">
        <f>IF(J151="",0,J151*G151)</f>
        <v/>
      </c>
    </row>
    <row r="152">
      <c r="A152" s="3" t="inlineStr">
        <is>
          <t>m250277</t>
        </is>
      </c>
      <c r="B152" s="3">
        <f>IFERROR(VLOOKUP(A152,Students!$A:$B,2,FALSE),"")</f>
        <v/>
      </c>
      <c r="C152" s="3" t="inlineStr">
        <is>
          <t>Fall 2025</t>
        </is>
      </c>
      <c r="D152" s="3" t="inlineStr">
        <is>
          <t>Semester 2</t>
        </is>
      </c>
      <c r="E152" s="3" t="inlineStr">
        <is>
          <t>IRL 550</t>
        </is>
      </c>
      <c r="F152" s="3">
        <f>IFERROR(VLOOKUP(E152,Courses!$A:$C,2,FALSE),"")</f>
        <v/>
      </c>
      <c r="G152" s="3">
        <f>IFERROR(VLOOKUP(E152,Courses!$A:$C,3,FALSE),0)</f>
        <v/>
      </c>
      <c r="H152" s="3" t="inlineStr">
        <is>
          <t>A+</t>
        </is>
      </c>
      <c r="I152" s="3" t="n">
        <v>100</v>
      </c>
      <c r="J152" s="3">
        <f>IF(H152="","",VLOOKUP(H152,'Grade Scale'!$A:$B,2,FALSE))</f>
        <v/>
      </c>
      <c r="K152" s="3">
        <f>IF(J152="",0,J152*G152)</f>
        <v/>
      </c>
    </row>
    <row r="153">
      <c r="A153" s="3" t="inlineStr">
        <is>
          <t>m250277</t>
        </is>
      </c>
      <c r="B153" s="3">
        <f>IFERROR(VLOOKUP(A153,Students!$A:$B,2,FALSE),"")</f>
        <v/>
      </c>
      <c r="C153" s="3" t="inlineStr">
        <is>
          <t>Fall 2025</t>
        </is>
      </c>
      <c r="D153" s="3" t="inlineStr">
        <is>
          <t>Semester 2</t>
        </is>
      </c>
      <c r="E153" s="3" t="inlineStr">
        <is>
          <t>IRL 560</t>
        </is>
      </c>
      <c r="F153" s="3">
        <f>IFERROR(VLOOKUP(E153,Courses!$A:$C,2,FALSE),"")</f>
        <v/>
      </c>
      <c r="G153" s="3">
        <f>IFERROR(VLOOKUP(E153,Courses!$A:$C,3,FALSE),0)</f>
        <v/>
      </c>
      <c r="H153" s="3" t="inlineStr">
        <is>
          <t>A-</t>
        </is>
      </c>
      <c r="I153" s="3" t="n">
        <v>90</v>
      </c>
      <c r="J153" s="3">
        <f>IF(H153="","",VLOOKUP(H153,'Grade Scale'!$A:$B,2,FALSE))</f>
        <v/>
      </c>
      <c r="K153" s="3">
        <f>IF(J153="",0,J153*G153)</f>
        <v/>
      </c>
    </row>
    <row r="154">
      <c r="A154" s="3" t="inlineStr">
        <is>
          <t>m250277</t>
        </is>
      </c>
      <c r="B154" s="3">
        <f>IFERROR(VLOOKUP(A154,Students!$A:$B,2,FALSE),"")</f>
        <v/>
      </c>
      <c r="C154" s="3" t="inlineStr">
        <is>
          <t>Fall 2025</t>
        </is>
      </c>
      <c r="D154" s="3" t="inlineStr">
        <is>
          <t>Semester 2</t>
        </is>
      </c>
      <c r="E154" s="3" t="inlineStr">
        <is>
          <t>IRL 570</t>
        </is>
      </c>
      <c r="F154" s="3">
        <f>IFERROR(VLOOKUP(E154,Courses!$A:$C,2,FALSE),"")</f>
        <v/>
      </c>
      <c r="G154" s="3">
        <f>IFERROR(VLOOKUP(E154,Courses!$A:$C,3,FALSE),0)</f>
        <v/>
      </c>
      <c r="H154" s="3" t="inlineStr">
        <is>
          <t>A-</t>
        </is>
      </c>
      <c r="I154" s="3" t="n">
        <v>92</v>
      </c>
      <c r="J154" s="3">
        <f>IF(H154="","",VLOOKUP(H154,'Grade Scale'!$A:$B,2,FALSE))</f>
        <v/>
      </c>
      <c r="K154" s="3">
        <f>IF(J154="",0,J154*G154)</f>
        <v/>
      </c>
    </row>
    <row r="155">
      <c r="A155" s="3" t="inlineStr">
        <is>
          <t>m250277</t>
        </is>
      </c>
      <c r="B155" s="3">
        <f>IFERROR(VLOOKUP(A155,Students!$A:$B,2,FALSE),"")</f>
        <v/>
      </c>
      <c r="C155" s="3" t="inlineStr">
        <is>
          <t>Fall 2025</t>
        </is>
      </c>
      <c r="D155" s="3" t="inlineStr">
        <is>
          <t>Semester 2</t>
        </is>
      </c>
      <c r="E155" s="3" t="inlineStr">
        <is>
          <t>IRL 580</t>
        </is>
      </c>
      <c r="F155" s="3">
        <f>IFERROR(VLOOKUP(E155,Courses!$A:$C,2,FALSE),"")</f>
        <v/>
      </c>
      <c r="G155" s="3">
        <f>IFERROR(VLOOKUP(E155,Courses!$A:$C,3,FALSE),0)</f>
        <v/>
      </c>
      <c r="H155" s="3" t="inlineStr">
        <is>
          <t>A</t>
        </is>
      </c>
      <c r="I155" s="3" t="n">
        <v>93</v>
      </c>
      <c r="J155" s="3">
        <f>IF(H155="","",VLOOKUP(H155,'Grade Scale'!$A:$B,2,FALSE))</f>
        <v/>
      </c>
      <c r="K155" s="3">
        <f>IF(J155="",0,J155*G155)</f>
        <v/>
      </c>
    </row>
    <row r="156">
      <c r="A156" s="3" t="inlineStr">
        <is>
          <t>m250277</t>
        </is>
      </c>
      <c r="B156" s="3">
        <f>IFERROR(VLOOKUP(A156,Students!$A:$B,2,FALSE),"")</f>
        <v/>
      </c>
      <c r="C156" s="3" t="inlineStr">
        <is>
          <t>Fall 2025</t>
        </is>
      </c>
      <c r="D156" s="3" t="inlineStr">
        <is>
          <t>Semester 2</t>
        </is>
      </c>
      <c r="E156" s="3" t="inlineStr">
        <is>
          <t>IRL 590</t>
        </is>
      </c>
      <c r="F156" s="3">
        <f>IFERROR(VLOOKUP(E156,Courses!$A:$C,2,FALSE),"")</f>
        <v/>
      </c>
      <c r="G156" s="3">
        <f>IFERROR(VLOOKUP(E156,Courses!$A:$C,3,FALSE),0)</f>
        <v/>
      </c>
      <c r="H156" s="3" t="inlineStr">
        <is>
          <t>A</t>
        </is>
      </c>
      <c r="I156" s="3" t="n">
        <v>93</v>
      </c>
      <c r="J156" s="3">
        <f>IF(H156="","",VLOOKUP(H156,'Grade Scale'!$A:$B,2,FALSE))</f>
        <v/>
      </c>
      <c r="K156" s="3">
        <f>IF(J156="",0,J156*G156)</f>
        <v/>
      </c>
    </row>
    <row r="157">
      <c r="A157" s="3" t="inlineStr">
        <is>
          <t>m250277</t>
        </is>
      </c>
      <c r="B157" s="3">
        <f>IFERROR(VLOOKUP(A157,Students!$A:$B,2,FALSE),"")</f>
        <v/>
      </c>
      <c r="C157" s="3" t="inlineStr">
        <is>
          <t>Spring 2026</t>
        </is>
      </c>
      <c r="D157" s="3" t="inlineStr">
        <is>
          <t>Semester 3</t>
        </is>
      </c>
      <c r="E157" s="3" t="inlineStr">
        <is>
          <t>IRL 610</t>
        </is>
      </c>
      <c r="F157" s="3">
        <f>IFERROR(VLOOKUP(E157,Courses!$A:$C,2,FALSE),"")</f>
        <v/>
      </c>
      <c r="G157" s="3">
        <f>IFERROR(VLOOKUP(E157,Courses!$A:$C,3,FALSE),0)</f>
        <v/>
      </c>
      <c r="H157" s="3" t="inlineStr">
        <is>
          <t>B+</t>
        </is>
      </c>
      <c r="I157" s="3" t="n">
        <v>87</v>
      </c>
      <c r="J157" s="3">
        <f>IF(H157="","",VLOOKUP(H157,'Grade Scale'!$A:$B,2,FALSE))</f>
        <v/>
      </c>
      <c r="K157" s="3">
        <f>IF(J157="",0,J157*G157)</f>
        <v/>
      </c>
    </row>
    <row r="158">
      <c r="A158" s="3" t="inlineStr">
        <is>
          <t>m250277</t>
        </is>
      </c>
      <c r="B158" s="3">
        <f>IFERROR(VLOOKUP(A158,Students!$A:$B,2,FALSE),"")</f>
        <v/>
      </c>
      <c r="C158" s="3" t="inlineStr">
        <is>
          <t>Spring 2026</t>
        </is>
      </c>
      <c r="D158" s="3" t="inlineStr">
        <is>
          <t>Semester 3</t>
        </is>
      </c>
      <c r="E158" s="3" t="inlineStr">
        <is>
          <t>IRL 620</t>
        </is>
      </c>
      <c r="F158" s="3">
        <f>IFERROR(VLOOKUP(E158,Courses!$A:$C,2,FALSE),"")</f>
        <v/>
      </c>
      <c r="G158" s="3">
        <f>IFERROR(VLOOKUP(E158,Courses!$A:$C,3,FALSE),0)</f>
        <v/>
      </c>
      <c r="H158" s="3" t="inlineStr">
        <is>
          <t>A</t>
        </is>
      </c>
      <c r="I158" s="3" t="n">
        <v>93</v>
      </c>
      <c r="J158" s="3">
        <f>IF(H158="","",VLOOKUP(H158,'Grade Scale'!$A:$B,2,FALSE))</f>
        <v/>
      </c>
      <c r="K158" s="3">
        <f>IF(J158="",0,J158*G158)</f>
        <v/>
      </c>
    </row>
    <row r="159">
      <c r="A159" s="3" t="inlineStr">
        <is>
          <t>m250277</t>
        </is>
      </c>
      <c r="B159" s="3">
        <f>IFERROR(VLOOKUP(A159,Students!$A:$B,2,FALSE),"")</f>
        <v/>
      </c>
      <c r="C159" s="3" t="inlineStr">
        <is>
          <t>Spring 2026</t>
        </is>
      </c>
      <c r="D159" s="3" t="inlineStr">
        <is>
          <t>Semester 3</t>
        </is>
      </c>
      <c r="E159" s="3" t="inlineStr">
        <is>
          <t>IRL 630</t>
        </is>
      </c>
      <c r="F159" s="3">
        <f>IFERROR(VLOOKUP(E159,Courses!$A:$C,2,FALSE),"")</f>
        <v/>
      </c>
      <c r="G159" s="3">
        <f>IFERROR(VLOOKUP(E159,Courses!$A:$C,3,FALSE),0)</f>
        <v/>
      </c>
      <c r="H159" s="3" t="inlineStr">
        <is>
          <t>B</t>
        </is>
      </c>
      <c r="I159" s="3" t="n">
        <v>84</v>
      </c>
      <c r="J159" s="3">
        <f>IF(H159="","",VLOOKUP(H159,'Grade Scale'!$A:$B,2,FALSE))</f>
        <v/>
      </c>
      <c r="K159" s="3">
        <f>IF(J159="",0,J159*G159)</f>
        <v/>
      </c>
    </row>
    <row r="160">
      <c r="A160" s="3" t="inlineStr">
        <is>
          <t>m250277</t>
        </is>
      </c>
      <c r="B160" s="3">
        <f>IFERROR(VLOOKUP(A160,Students!$A:$B,2,FALSE),"")</f>
        <v/>
      </c>
      <c r="C160" s="3" t="inlineStr">
        <is>
          <t>Spring 2026</t>
        </is>
      </c>
      <c r="D160" s="3" t="inlineStr">
        <is>
          <t>Semester 3</t>
        </is>
      </c>
      <c r="E160" s="3" t="inlineStr">
        <is>
          <t>IRL 640</t>
        </is>
      </c>
      <c r="F160" s="3">
        <f>IFERROR(VLOOKUP(E160,Courses!$A:$C,2,FALSE),"")</f>
        <v/>
      </c>
      <c r="G160" s="3">
        <f>IFERROR(VLOOKUP(E160,Courses!$A:$C,3,FALSE),0)</f>
        <v/>
      </c>
      <c r="H160" s="3" t="inlineStr">
        <is>
          <t>A-</t>
        </is>
      </c>
      <c r="I160" s="3" t="n">
        <v>91</v>
      </c>
      <c r="J160" s="3">
        <f>IF(H160="","",VLOOKUP(H160,'Grade Scale'!$A:$B,2,FALSE))</f>
        <v/>
      </c>
      <c r="K160" s="3">
        <f>IF(J160="",0,J160*G160)</f>
        <v/>
      </c>
    </row>
    <row r="161">
      <c r="A161" s="3" t="inlineStr">
        <is>
          <t>m250277</t>
        </is>
      </c>
      <c r="B161" s="3">
        <f>IFERROR(VLOOKUP(A161,Students!$A:$B,2,FALSE),"")</f>
        <v/>
      </c>
      <c r="C161" s="3" t="inlineStr">
        <is>
          <t>Spring 2026</t>
        </is>
      </c>
      <c r="D161" s="3" t="inlineStr">
        <is>
          <t>Semester 3</t>
        </is>
      </c>
      <c r="E161" s="3" t="inlineStr">
        <is>
          <t>IRL 690</t>
        </is>
      </c>
      <c r="F161" s="3">
        <f>IFERROR(VLOOKUP(E161,Courses!$A:$C,2,FALSE),"")</f>
        <v/>
      </c>
      <c r="G161" s="3">
        <f>IFERROR(VLOOKUP(E161,Courses!$A:$C,3,FALSE),0)</f>
        <v/>
      </c>
      <c r="H161" s="3" t="inlineStr">
        <is>
          <t>A-</t>
        </is>
      </c>
      <c r="I161" s="3" t="n">
        <v>91</v>
      </c>
      <c r="J161" s="3">
        <f>IF(H161="","",VLOOKUP(H161,'Grade Scale'!$A:$B,2,FALSE))</f>
        <v/>
      </c>
      <c r="K161" s="3">
        <f>IF(J161="",0,J161*G161)</f>
        <v/>
      </c>
    </row>
    <row r="162">
      <c r="A162" s="3" t="inlineStr">
        <is>
          <t>m250278</t>
        </is>
      </c>
      <c r="B162" s="3">
        <f>IFERROR(VLOOKUP(A162,Students!$A:$B,2,FALSE),"")</f>
        <v/>
      </c>
      <c r="C162" s="3" t="inlineStr">
        <is>
          <t>Spring 2025</t>
        </is>
      </c>
      <c r="D162" s="3" t="inlineStr">
        <is>
          <t>Semester 1</t>
        </is>
      </c>
      <c r="E162" s="3" t="inlineStr">
        <is>
          <t>CSE 101</t>
        </is>
      </c>
      <c r="F162" s="3">
        <f>IFERROR(VLOOKUP(E162,Courses!$A:$C,2,FALSE),"")</f>
        <v/>
      </c>
      <c r="G162" s="3">
        <f>IFERROR(VLOOKUP(E162,Courses!$A:$C,3,FALSE),0)</f>
        <v/>
      </c>
      <c r="H162" s="3" t="inlineStr">
        <is>
          <t>B-</t>
        </is>
      </c>
      <c r="I162" s="3" t="n">
        <v>82</v>
      </c>
      <c r="J162" s="3">
        <f>IF(H162="","",VLOOKUP(H162,'Grade Scale'!$A:$B,2,FALSE))</f>
        <v/>
      </c>
      <c r="K162" s="3">
        <f>IF(J162="",0,J162*G162)</f>
        <v/>
      </c>
    </row>
    <row r="163">
      <c r="A163" s="3" t="inlineStr">
        <is>
          <t>m250278</t>
        </is>
      </c>
      <c r="B163" s="3">
        <f>IFERROR(VLOOKUP(A163,Students!$A:$B,2,FALSE),"")</f>
        <v/>
      </c>
      <c r="C163" s="3" t="inlineStr">
        <is>
          <t>Spring 2025</t>
        </is>
      </c>
      <c r="D163" s="3" t="inlineStr">
        <is>
          <t>Semester 1</t>
        </is>
      </c>
      <c r="E163" s="3" t="inlineStr">
        <is>
          <t>MTH 110</t>
        </is>
      </c>
      <c r="F163" s="3">
        <f>IFERROR(VLOOKUP(E163,Courses!$A:$C,2,FALSE),"")</f>
        <v/>
      </c>
      <c r="G163" s="3">
        <f>IFERROR(VLOOKUP(E163,Courses!$A:$C,3,FALSE),0)</f>
        <v/>
      </c>
      <c r="H163" s="3" t="inlineStr">
        <is>
          <t>B+</t>
        </is>
      </c>
      <c r="I163" s="3" t="n">
        <v>87</v>
      </c>
      <c r="J163" s="3">
        <f>IF(H163="","",VLOOKUP(H163,'Grade Scale'!$A:$B,2,FALSE))</f>
        <v/>
      </c>
      <c r="K163" s="3">
        <f>IF(J163="",0,J163*G163)</f>
        <v/>
      </c>
    </row>
    <row r="164">
      <c r="A164" s="3" t="inlineStr">
        <is>
          <t>m250278</t>
        </is>
      </c>
      <c r="B164" s="3">
        <f>IFERROR(VLOOKUP(A164,Students!$A:$B,2,FALSE),"")</f>
        <v/>
      </c>
      <c r="C164" s="3" t="inlineStr">
        <is>
          <t>Spring 2025</t>
        </is>
      </c>
      <c r="D164" s="3" t="inlineStr">
        <is>
          <t>Semester 1</t>
        </is>
      </c>
      <c r="E164" s="3" t="inlineStr">
        <is>
          <t>CSE 120</t>
        </is>
      </c>
      <c r="F164" s="3">
        <f>IFERROR(VLOOKUP(E164,Courses!$A:$C,2,FALSE),"")</f>
        <v/>
      </c>
      <c r="G164" s="3">
        <f>IFERROR(VLOOKUP(E164,Courses!$A:$C,3,FALSE),0)</f>
        <v/>
      </c>
      <c r="H164" s="3" t="inlineStr">
        <is>
          <t>C</t>
        </is>
      </c>
      <c r="I164" s="3" t="n">
        <v>73</v>
      </c>
      <c r="J164" s="3">
        <f>IF(H164="","",VLOOKUP(H164,'Grade Scale'!$A:$B,2,FALSE))</f>
        <v/>
      </c>
      <c r="K164" s="3">
        <f>IF(J164="",0,J164*G164)</f>
        <v/>
      </c>
    </row>
    <row r="165">
      <c r="A165" s="3" t="inlineStr">
        <is>
          <t>m250278</t>
        </is>
      </c>
      <c r="B165" s="3">
        <f>IFERROR(VLOOKUP(A165,Students!$A:$B,2,FALSE),"")</f>
        <v/>
      </c>
      <c r="C165" s="3" t="inlineStr">
        <is>
          <t>Spring 2025</t>
        </is>
      </c>
      <c r="D165" s="3" t="inlineStr">
        <is>
          <t>Semester 1</t>
        </is>
      </c>
      <c r="E165" s="3" t="inlineStr">
        <is>
          <t>ENG 101</t>
        </is>
      </c>
      <c r="F165" s="3">
        <f>IFERROR(VLOOKUP(E165,Courses!$A:$C,2,FALSE),"")</f>
        <v/>
      </c>
      <c r="G165" s="3">
        <f>IFERROR(VLOOKUP(E165,Courses!$A:$C,3,FALSE),0)</f>
        <v/>
      </c>
      <c r="H165" s="3" t="inlineStr">
        <is>
          <t>C+</t>
        </is>
      </c>
      <c r="I165" s="3" t="n">
        <v>77</v>
      </c>
      <c r="J165" s="3">
        <f>IF(H165="","",VLOOKUP(H165,'Grade Scale'!$A:$B,2,FALSE))</f>
        <v/>
      </c>
      <c r="K165" s="3">
        <f>IF(J165="",0,J165*G165)</f>
        <v/>
      </c>
    </row>
    <row r="166">
      <c r="A166" s="3" t="inlineStr">
        <is>
          <t>m250278</t>
        </is>
      </c>
      <c r="B166" s="3">
        <f>IFERROR(VLOOKUP(A166,Students!$A:$B,2,FALSE),"")</f>
        <v/>
      </c>
      <c r="C166" s="3" t="inlineStr">
        <is>
          <t>Spring 2025</t>
        </is>
      </c>
      <c r="D166" s="3" t="inlineStr">
        <is>
          <t>Semester 1</t>
        </is>
      </c>
      <c r="E166" s="3" t="inlineStr">
        <is>
          <t>MTH 120</t>
        </is>
      </c>
      <c r="F166" s="3">
        <f>IFERROR(VLOOKUP(E166,Courses!$A:$C,2,FALSE),"")</f>
        <v/>
      </c>
      <c r="G166" s="3">
        <f>IFERROR(VLOOKUP(E166,Courses!$A:$C,3,FALSE),0)</f>
        <v/>
      </c>
      <c r="H166" s="3" t="inlineStr">
        <is>
          <t>B</t>
        </is>
      </c>
      <c r="I166" s="3" t="n">
        <v>84</v>
      </c>
      <c r="J166" s="3">
        <f>IF(H166="","",VLOOKUP(H166,'Grade Scale'!$A:$B,2,FALSE))</f>
        <v/>
      </c>
      <c r="K166" s="3">
        <f>IF(J166="",0,J166*G166)</f>
        <v/>
      </c>
    </row>
    <row r="167">
      <c r="A167" s="3" t="inlineStr">
        <is>
          <t>m250278</t>
        </is>
      </c>
      <c r="B167" s="3">
        <f>IFERROR(VLOOKUP(A167,Students!$A:$B,2,FALSE),"")</f>
        <v/>
      </c>
      <c r="C167" s="3" t="inlineStr">
        <is>
          <t>Fall 2025</t>
        </is>
      </c>
      <c r="D167" s="3" t="inlineStr">
        <is>
          <t>Semester 2</t>
        </is>
      </c>
      <c r="E167" s="3" t="inlineStr">
        <is>
          <t>CSE 150</t>
        </is>
      </c>
      <c r="F167" s="3">
        <f>IFERROR(VLOOKUP(E167,Courses!$A:$C,2,FALSE),"")</f>
        <v/>
      </c>
      <c r="G167" s="3">
        <f>IFERROR(VLOOKUP(E167,Courses!$A:$C,3,FALSE),0)</f>
        <v/>
      </c>
      <c r="H167" s="3" t="inlineStr">
        <is>
          <t>B-</t>
        </is>
      </c>
      <c r="I167" s="3" t="n">
        <v>82</v>
      </c>
      <c r="J167" s="3">
        <f>IF(H167="","",VLOOKUP(H167,'Grade Scale'!$A:$B,2,FALSE))</f>
        <v/>
      </c>
      <c r="K167" s="3">
        <f>IF(J167="",0,J167*G167)</f>
        <v/>
      </c>
    </row>
    <row r="168">
      <c r="A168" s="3" t="inlineStr">
        <is>
          <t>m250278</t>
        </is>
      </c>
      <c r="B168" s="3">
        <f>IFERROR(VLOOKUP(A168,Students!$A:$B,2,FALSE),"")</f>
        <v/>
      </c>
      <c r="C168" s="3" t="inlineStr">
        <is>
          <t>Fall 2025</t>
        </is>
      </c>
      <c r="D168" s="3" t="inlineStr">
        <is>
          <t>Semester 2</t>
        </is>
      </c>
      <c r="E168" s="3" t="inlineStr">
        <is>
          <t>CSE 160</t>
        </is>
      </c>
      <c r="F168" s="3">
        <f>IFERROR(VLOOKUP(E168,Courses!$A:$C,2,FALSE),"")</f>
        <v/>
      </c>
      <c r="G168" s="3">
        <f>IFERROR(VLOOKUP(E168,Courses!$A:$C,3,FALSE),0)</f>
        <v/>
      </c>
      <c r="H168" s="3" t="inlineStr">
        <is>
          <t>C+</t>
        </is>
      </c>
      <c r="I168" s="3" t="n">
        <v>78</v>
      </c>
      <c r="J168" s="3">
        <f>IF(H168="","",VLOOKUP(H168,'Grade Scale'!$A:$B,2,FALSE))</f>
        <v/>
      </c>
      <c r="K168" s="3">
        <f>IF(J168="",0,J168*G168)</f>
        <v/>
      </c>
    </row>
    <row r="169">
      <c r="A169" s="3" t="inlineStr">
        <is>
          <t>m250278</t>
        </is>
      </c>
      <c r="B169" s="3">
        <f>IFERROR(VLOOKUP(A169,Students!$A:$B,2,FALSE),"")</f>
        <v/>
      </c>
      <c r="C169" s="3" t="inlineStr">
        <is>
          <t>Fall 2025</t>
        </is>
      </c>
      <c r="D169" s="3" t="inlineStr">
        <is>
          <t>Semester 2</t>
        </is>
      </c>
      <c r="E169" s="3" t="inlineStr">
        <is>
          <t>CSE 170</t>
        </is>
      </c>
      <c r="F169" s="3">
        <f>IFERROR(VLOOKUP(E169,Courses!$A:$C,2,FALSE),"")</f>
        <v/>
      </c>
      <c r="G169" s="3">
        <f>IFERROR(VLOOKUP(E169,Courses!$A:$C,3,FALSE),0)</f>
        <v/>
      </c>
      <c r="H169" s="3" t="inlineStr">
        <is>
          <t>C+</t>
        </is>
      </c>
      <c r="I169" s="3" t="n">
        <v>78</v>
      </c>
      <c r="J169" s="3">
        <f>IF(H169="","",VLOOKUP(H169,'Grade Scale'!$A:$B,2,FALSE))</f>
        <v/>
      </c>
      <c r="K169" s="3">
        <f>IF(J169="",0,J169*G169)</f>
        <v/>
      </c>
    </row>
    <row r="170">
      <c r="A170" s="3" t="inlineStr">
        <is>
          <t>m250278</t>
        </is>
      </c>
      <c r="B170" s="3">
        <f>IFERROR(VLOOKUP(A170,Students!$A:$B,2,FALSE),"")</f>
        <v/>
      </c>
      <c r="C170" s="3" t="inlineStr">
        <is>
          <t>Fall 2025</t>
        </is>
      </c>
      <c r="D170" s="3" t="inlineStr">
        <is>
          <t>Semester 2</t>
        </is>
      </c>
      <c r="E170" s="3" t="inlineStr">
        <is>
          <t>ENG 102</t>
        </is>
      </c>
      <c r="F170" s="3">
        <f>IFERROR(VLOOKUP(E170,Courses!$A:$C,2,FALSE),"")</f>
        <v/>
      </c>
      <c r="G170" s="3">
        <f>IFERROR(VLOOKUP(E170,Courses!$A:$C,3,FALSE),0)</f>
        <v/>
      </c>
      <c r="H170" s="3" t="inlineStr">
        <is>
          <t>C</t>
        </is>
      </c>
      <c r="I170" s="3" t="n">
        <v>75</v>
      </c>
      <c r="J170" s="3">
        <f>IF(H170="","",VLOOKUP(H170,'Grade Scale'!$A:$B,2,FALSE))</f>
        <v/>
      </c>
      <c r="K170" s="3">
        <f>IF(J170="",0,J170*G170)</f>
        <v/>
      </c>
    </row>
    <row r="171">
      <c r="A171" s="3" t="inlineStr">
        <is>
          <t>m250278</t>
        </is>
      </c>
      <c r="B171" s="3">
        <f>IFERROR(VLOOKUP(A171,Students!$A:$B,2,FALSE),"")</f>
        <v/>
      </c>
      <c r="C171" s="3" t="inlineStr">
        <is>
          <t>Fall 2025</t>
        </is>
      </c>
      <c r="D171" s="3" t="inlineStr">
        <is>
          <t>Semester 2</t>
        </is>
      </c>
      <c r="E171" s="3" t="inlineStr">
        <is>
          <t>MTH 130</t>
        </is>
      </c>
      <c r="F171" s="3">
        <f>IFERROR(VLOOKUP(E171,Courses!$A:$C,2,FALSE),"")</f>
        <v/>
      </c>
      <c r="G171" s="3">
        <f>IFERROR(VLOOKUP(E171,Courses!$A:$C,3,FALSE),0)</f>
        <v/>
      </c>
      <c r="H171" s="3" t="inlineStr">
        <is>
          <t>C+</t>
        </is>
      </c>
      <c r="I171" s="3" t="n">
        <v>78</v>
      </c>
      <c r="J171" s="3">
        <f>IF(H171="","",VLOOKUP(H171,'Grade Scale'!$A:$B,2,FALSE))</f>
        <v/>
      </c>
      <c r="K171" s="3">
        <f>IF(J171="",0,J171*G171)</f>
        <v/>
      </c>
    </row>
    <row r="172">
      <c r="A172" s="3" t="inlineStr">
        <is>
          <t>m250278</t>
        </is>
      </c>
      <c r="B172" s="3">
        <f>IFERROR(VLOOKUP(A172,Students!$A:$B,2,FALSE),"")</f>
        <v/>
      </c>
      <c r="C172" s="3" t="inlineStr">
        <is>
          <t>Spring 2026</t>
        </is>
      </c>
      <c r="D172" s="3" t="inlineStr">
        <is>
          <t>Semester 3</t>
        </is>
      </c>
      <c r="E172" s="3" t="inlineStr">
        <is>
          <t>CSE 210</t>
        </is>
      </c>
      <c r="F172" s="3">
        <f>IFERROR(VLOOKUP(E172,Courses!$A:$C,2,FALSE),"")</f>
        <v/>
      </c>
      <c r="G172" s="3">
        <f>IFERROR(VLOOKUP(E172,Courses!$A:$C,3,FALSE),0)</f>
        <v/>
      </c>
      <c r="H172" s="3" t="inlineStr">
        <is>
          <t>B-</t>
        </is>
      </c>
      <c r="I172" s="3" t="n">
        <v>80</v>
      </c>
      <c r="J172" s="3">
        <f>IF(H172="","",VLOOKUP(H172,'Grade Scale'!$A:$B,2,FALSE))</f>
        <v/>
      </c>
      <c r="K172" s="3">
        <f>IF(J172="",0,J172*G172)</f>
        <v/>
      </c>
    </row>
    <row r="173">
      <c r="A173" s="3" t="inlineStr">
        <is>
          <t>m250278</t>
        </is>
      </c>
      <c r="B173" s="3">
        <f>IFERROR(VLOOKUP(A173,Students!$A:$B,2,FALSE),"")</f>
        <v/>
      </c>
      <c r="C173" s="3" t="inlineStr">
        <is>
          <t>Spring 2026</t>
        </is>
      </c>
      <c r="D173" s="3" t="inlineStr">
        <is>
          <t>Semester 3</t>
        </is>
      </c>
      <c r="E173" s="3" t="inlineStr">
        <is>
          <t>CSE 220</t>
        </is>
      </c>
      <c r="F173" s="3">
        <f>IFERROR(VLOOKUP(E173,Courses!$A:$C,2,FALSE),"")</f>
        <v/>
      </c>
      <c r="G173" s="3">
        <f>IFERROR(VLOOKUP(E173,Courses!$A:$C,3,FALSE),0)</f>
        <v/>
      </c>
      <c r="H173" s="3" t="inlineStr">
        <is>
          <t>B</t>
        </is>
      </c>
      <c r="I173" s="3" t="n">
        <v>84</v>
      </c>
      <c r="J173" s="3">
        <f>IF(H173="","",VLOOKUP(H173,'Grade Scale'!$A:$B,2,FALSE))</f>
        <v/>
      </c>
      <c r="K173" s="3">
        <f>IF(J173="",0,J173*G173)</f>
        <v/>
      </c>
    </row>
    <row r="174">
      <c r="A174" s="3" t="inlineStr">
        <is>
          <t>m250278</t>
        </is>
      </c>
      <c r="B174" s="3">
        <f>IFERROR(VLOOKUP(A174,Students!$A:$B,2,FALSE),"")</f>
        <v/>
      </c>
      <c r="C174" s="3" t="inlineStr">
        <is>
          <t>Spring 2026</t>
        </is>
      </c>
      <c r="D174" s="3" t="inlineStr">
        <is>
          <t>Semester 3</t>
        </is>
      </c>
      <c r="E174" s="3" t="inlineStr">
        <is>
          <t>CSE 230</t>
        </is>
      </c>
      <c r="F174" s="3">
        <f>IFERROR(VLOOKUP(E174,Courses!$A:$C,2,FALSE),"")</f>
        <v/>
      </c>
      <c r="G174" s="3">
        <f>IFERROR(VLOOKUP(E174,Courses!$A:$C,3,FALSE),0)</f>
        <v/>
      </c>
      <c r="H174" s="3" t="inlineStr">
        <is>
          <t>C</t>
        </is>
      </c>
      <c r="I174" s="3" t="n">
        <v>73</v>
      </c>
      <c r="J174" s="3">
        <f>IF(H174="","",VLOOKUP(H174,'Grade Scale'!$A:$B,2,FALSE))</f>
        <v/>
      </c>
      <c r="K174" s="3">
        <f>IF(J174="",0,J174*G174)</f>
        <v/>
      </c>
    </row>
    <row r="175">
      <c r="A175" s="3" t="inlineStr">
        <is>
          <t>m250278</t>
        </is>
      </c>
      <c r="B175" s="3">
        <f>IFERROR(VLOOKUP(A175,Students!$A:$B,2,FALSE),"")</f>
        <v/>
      </c>
      <c r="C175" s="3" t="inlineStr">
        <is>
          <t>Spring 2026</t>
        </is>
      </c>
      <c r="D175" s="3" t="inlineStr">
        <is>
          <t>Semester 3</t>
        </is>
      </c>
      <c r="E175" s="3" t="inlineStr">
        <is>
          <t>CSE 240</t>
        </is>
      </c>
      <c r="F175" s="3">
        <f>IFERROR(VLOOKUP(E175,Courses!$A:$C,2,FALSE),"")</f>
        <v/>
      </c>
      <c r="G175" s="3">
        <f>IFERROR(VLOOKUP(E175,Courses!$A:$C,3,FALSE),0)</f>
        <v/>
      </c>
      <c r="H175" s="3" t="inlineStr">
        <is>
          <t>C+</t>
        </is>
      </c>
      <c r="I175" s="3" t="n">
        <v>78</v>
      </c>
      <c r="J175" s="3">
        <f>IF(H175="","",VLOOKUP(H175,'Grade Scale'!$A:$B,2,FALSE))</f>
        <v/>
      </c>
      <c r="K175" s="3">
        <f>IF(J175="",0,J175*G175)</f>
        <v/>
      </c>
    </row>
    <row r="176">
      <c r="A176" s="3" t="inlineStr">
        <is>
          <t>m250278</t>
        </is>
      </c>
      <c r="B176" s="3">
        <f>IFERROR(VLOOKUP(A176,Students!$A:$B,2,FALSE),"")</f>
        <v/>
      </c>
      <c r="C176" s="3" t="inlineStr">
        <is>
          <t>Spring 2026</t>
        </is>
      </c>
      <c r="D176" s="3" t="inlineStr">
        <is>
          <t>Semester 3</t>
        </is>
      </c>
      <c r="E176" s="3" t="inlineStr">
        <is>
          <t>STA 201</t>
        </is>
      </c>
      <c r="F176" s="3">
        <f>IFERROR(VLOOKUP(E176,Courses!$A:$C,2,FALSE),"")</f>
        <v/>
      </c>
      <c r="G176" s="3">
        <f>IFERROR(VLOOKUP(E176,Courses!$A:$C,3,FALSE),0)</f>
        <v/>
      </c>
      <c r="H176" s="3" t="inlineStr">
        <is>
          <t>C+</t>
        </is>
      </c>
      <c r="I176" s="3" t="n">
        <v>79</v>
      </c>
      <c r="J176" s="3">
        <f>IF(H176="","",VLOOKUP(H176,'Grade Scale'!$A:$B,2,FALSE))</f>
        <v/>
      </c>
      <c r="K176" s="3">
        <f>IF(J176="",0,J176*G176)</f>
        <v/>
      </c>
    </row>
  </sheetData>
  <autoFilter ref="A1:K176"/>
  <dataValidations count="1">
    <dataValidation sqref="H2:H2000" showDropDown="0" showInputMessage="0" showErrorMessage="0" allowBlank="1" type="list">
      <formula1>'Grade Scale'!$A$2:$A$12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1" customWidth="1" min="4" max="4"/>
  </cols>
  <sheetData>
    <row r="1" ht="30" customHeight="1">
      <c r="A1" s="2" t="inlineStr">
        <is>
          <t>Letter</t>
        </is>
      </c>
      <c r="B1" s="2" t="inlineStr">
        <is>
          <t>Grade Points</t>
        </is>
      </c>
      <c r="C1" s="2" t="inlineStr">
        <is>
          <t>Min Score</t>
        </is>
      </c>
      <c r="D1" s="2" t="inlineStr">
        <is>
          <t>Max Score</t>
        </is>
      </c>
    </row>
    <row r="2">
      <c r="A2" s="3" t="inlineStr">
        <is>
          <t>A+</t>
        </is>
      </c>
      <c r="B2" s="3" t="n">
        <v>4.33</v>
      </c>
      <c r="C2" s="3" t="n">
        <v>97</v>
      </c>
      <c r="D2" s="3" t="n">
        <v>100</v>
      </c>
    </row>
    <row r="3">
      <c r="A3" s="3" t="inlineStr">
        <is>
          <t>A</t>
        </is>
      </c>
      <c r="B3" s="3" t="n">
        <v>4</v>
      </c>
      <c r="C3" s="3" t="n">
        <v>93</v>
      </c>
      <c r="D3" s="3" t="n">
        <v>96</v>
      </c>
    </row>
    <row r="4">
      <c r="A4" s="3" t="inlineStr">
        <is>
          <t>A-</t>
        </is>
      </c>
      <c r="B4" s="3" t="n">
        <v>3.67</v>
      </c>
      <c r="C4" s="3" t="n">
        <v>90</v>
      </c>
      <c r="D4" s="3" t="n">
        <v>92</v>
      </c>
    </row>
    <row r="5">
      <c r="A5" s="3" t="inlineStr">
        <is>
          <t>B+</t>
        </is>
      </c>
      <c r="B5" s="3" t="n">
        <v>3.33</v>
      </c>
      <c r="C5" s="3" t="n">
        <v>87</v>
      </c>
      <c r="D5" s="3" t="n">
        <v>89</v>
      </c>
    </row>
    <row r="6">
      <c r="A6" s="3" t="inlineStr">
        <is>
          <t>B</t>
        </is>
      </c>
      <c r="B6" s="3" t="n">
        <v>3</v>
      </c>
      <c r="C6" s="3" t="n">
        <v>83</v>
      </c>
      <c r="D6" s="3" t="n">
        <v>86</v>
      </c>
    </row>
    <row r="7">
      <c r="A7" s="3" t="inlineStr">
        <is>
          <t>B-</t>
        </is>
      </c>
      <c r="B7" s="3" t="n">
        <v>2.67</v>
      </c>
      <c r="C7" s="3" t="n">
        <v>80</v>
      </c>
      <c r="D7" s="3" t="n">
        <v>82</v>
      </c>
    </row>
    <row r="8">
      <c r="A8" s="3" t="inlineStr">
        <is>
          <t>C+</t>
        </is>
      </c>
      <c r="B8" s="3" t="n">
        <v>2.33</v>
      </c>
      <c r="C8" s="3" t="n">
        <v>77</v>
      </c>
      <c r="D8" s="3" t="n">
        <v>79</v>
      </c>
    </row>
    <row r="9">
      <c r="A9" s="3" t="inlineStr">
        <is>
          <t>C</t>
        </is>
      </c>
      <c r="B9" s="3" t="n">
        <v>2</v>
      </c>
      <c r="C9" s="3" t="n">
        <v>73</v>
      </c>
      <c r="D9" s="3" t="n">
        <v>76</v>
      </c>
    </row>
    <row r="10">
      <c r="A10" s="3" t="inlineStr">
        <is>
          <t>C-</t>
        </is>
      </c>
      <c r="B10" s="3" t="n">
        <v>1.67</v>
      </c>
      <c r="C10" s="3" t="n">
        <v>70</v>
      </c>
      <c r="D10" s="3" t="n">
        <v>72</v>
      </c>
    </row>
    <row r="11">
      <c r="A11" s="3" t="inlineStr">
        <is>
          <t>D</t>
        </is>
      </c>
      <c r="B11" s="3" t="n">
        <v>1</v>
      </c>
      <c r="C11" s="3" t="n">
        <v>60</v>
      </c>
      <c r="D11" s="3" t="n">
        <v>69</v>
      </c>
    </row>
    <row r="12">
      <c r="A12" s="3" t="inlineStr">
        <is>
          <t>F</t>
        </is>
      </c>
      <c r="B12" s="3" t="n">
        <v>0</v>
      </c>
      <c r="C12" s="3" t="n">
        <v>0</v>
      </c>
      <c r="D12" s="3" t="n">
        <v>59</v>
      </c>
    </row>
  </sheetData>
  <autoFilter ref="A1:D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16" customWidth="1" min="4" max="4"/>
    <col width="16" customWidth="1" min="5" max="5"/>
    <col width="16" customWidth="1" min="6" max="6"/>
    <col width="15" customWidth="1" min="7" max="7"/>
    <col width="12" customWidth="1" min="8" max="8"/>
  </cols>
  <sheetData>
    <row r="1" ht="30" customHeight="1">
      <c r="A1" s="2" t="inlineStr">
        <is>
          <t>Student ID</t>
        </is>
      </c>
      <c r="B1" s="2" t="inlineStr">
        <is>
          <t>Student Name</t>
        </is>
      </c>
      <c r="C1" s="2" t="inlineStr">
        <is>
          <t>Program</t>
        </is>
      </c>
      <c r="D1" s="2" t="inlineStr">
        <is>
          <t>Spring 2025 GPA</t>
        </is>
      </c>
      <c r="E1" s="2" t="inlineStr">
        <is>
          <t>Fall 2025 GPA</t>
        </is>
      </c>
      <c r="F1" s="2" t="inlineStr">
        <is>
          <t>Spring 2026 GPA</t>
        </is>
      </c>
      <c r="G1" s="2" t="inlineStr">
        <is>
          <t>Cumulative GPA</t>
        </is>
      </c>
      <c r="H1" s="2" t="inlineStr">
        <is>
          <t>ECTS Earned</t>
        </is>
      </c>
    </row>
    <row r="2">
      <c r="A2" s="3" t="inlineStr">
        <is>
          <t>m250251</t>
        </is>
      </c>
      <c r="B2" s="3">
        <f>VLOOKUP(A2,Students!$A:$B,2,FALSE)</f>
        <v/>
      </c>
      <c r="C2" s="3">
        <f>VLOOKUP(A2,Students!$A:$K,11,FALSE)</f>
        <v/>
      </c>
      <c r="D2" s="3">
        <f>IFERROR(MIN(4,ROUND(SUMIFS(Grades!$K:$K,Grades!$A:$A,$A2,Grades!$C:$C,"Spring 2025")/SUMIFS(Grades!$G:$G,Grades!$A:$A,$A2,Grades!$C:$C,"Spring 2025"),2)),"")</f>
        <v/>
      </c>
      <c r="E2" s="3">
        <f>IFERROR(MIN(4,ROUND(SUMIFS(Grades!$K:$K,Grades!$A:$A,$A2,Grades!$C:$C,"Fall 2025")/SUMIFS(Grades!$G:$G,Grades!$A:$A,$A2,Grades!$C:$C,"Fall 2025"),2)),"")</f>
        <v/>
      </c>
      <c r="F2" s="3">
        <f>IFERROR(MIN(4,ROUND(SUMIFS(Grades!$K:$K,Grades!$A:$A,$A2,Grades!$C:$C,"Spring 2026")/SUMIFS(Grades!$G:$G,Grades!$A:$A,$A2,Grades!$C:$C,"Spring 2026"),2)),"")</f>
        <v/>
      </c>
      <c r="G2" s="3">
        <f>IFERROR(MIN(4,ROUND(SUMIFS(Grades!$K:$K,Grades!$A:$A,$A2)/SUMIFS(Grades!$G:$G,Grades!$A:$A,$A2),2)),"")</f>
        <v/>
      </c>
      <c r="H2" s="3">
        <f>SUMIFS(Grades!$G:$G,Grades!$A:$A,$A2,Grades!$H:$H,"&lt;&gt;",Grades!$H:$H,"&lt;&gt;F")</f>
        <v/>
      </c>
    </row>
    <row r="3">
      <c r="A3" s="3" t="inlineStr">
        <is>
          <t>m250268</t>
        </is>
      </c>
      <c r="B3" s="3">
        <f>VLOOKUP(A3,Students!$A:$B,2,FALSE)</f>
        <v/>
      </c>
      <c r="C3" s="3">
        <f>VLOOKUP(A3,Students!$A:$K,11,FALSE)</f>
        <v/>
      </c>
      <c r="D3" s="3">
        <f>IFERROR(MIN(4,ROUND(SUMIFS(Grades!$K:$K,Grades!$A:$A,$A3,Grades!$C:$C,"Spring 2025")/SUMIFS(Grades!$G:$G,Grades!$A:$A,$A3,Grades!$C:$C,"Spring 2025"),2)),"")</f>
        <v/>
      </c>
      <c r="E3" s="3">
        <f>IFERROR(MIN(4,ROUND(SUMIFS(Grades!$K:$K,Grades!$A:$A,$A3,Grades!$C:$C,"Fall 2025")/SUMIFS(Grades!$G:$G,Grades!$A:$A,$A3,Grades!$C:$C,"Fall 2025"),2)),"")</f>
        <v/>
      </c>
      <c r="F3" s="3">
        <f>IFERROR(MIN(4,ROUND(SUMIFS(Grades!$K:$K,Grades!$A:$A,$A3,Grades!$C:$C,"Spring 2026")/SUMIFS(Grades!$G:$G,Grades!$A:$A,$A3,Grades!$C:$C,"Spring 2026"),2)),"")</f>
        <v/>
      </c>
      <c r="G3" s="3">
        <f>IFERROR(MIN(4,ROUND(SUMIFS(Grades!$K:$K,Grades!$A:$A,$A3)/SUMIFS(Grades!$G:$G,Grades!$A:$A,$A3),2)),"")</f>
        <v/>
      </c>
      <c r="H3" s="3">
        <f>SUMIFS(Grades!$G:$G,Grades!$A:$A,$A3,Grades!$H:$H,"&lt;&gt;",Grades!$H:$H,"&lt;&gt;F")</f>
        <v/>
      </c>
    </row>
    <row r="4">
      <c r="A4" s="3" t="inlineStr">
        <is>
          <t>m250269</t>
        </is>
      </c>
      <c r="B4" s="3">
        <f>VLOOKUP(A4,Students!$A:$B,2,FALSE)</f>
        <v/>
      </c>
      <c r="C4" s="3">
        <f>VLOOKUP(A4,Students!$A:$K,11,FALSE)</f>
        <v/>
      </c>
      <c r="D4" s="3">
        <f>IFERROR(MIN(4,ROUND(SUMIFS(Grades!$K:$K,Grades!$A:$A,$A4,Grades!$C:$C,"Spring 2025")/SUMIFS(Grades!$G:$G,Grades!$A:$A,$A4,Grades!$C:$C,"Spring 2025"),2)),"")</f>
        <v/>
      </c>
      <c r="E4" s="3">
        <f>IFERROR(MIN(4,ROUND(SUMIFS(Grades!$K:$K,Grades!$A:$A,$A4,Grades!$C:$C,"Fall 2025")/SUMIFS(Grades!$G:$G,Grades!$A:$A,$A4,Grades!$C:$C,"Fall 2025"),2)),"")</f>
        <v/>
      </c>
      <c r="F4" s="3">
        <f>IFERROR(MIN(4,ROUND(SUMIFS(Grades!$K:$K,Grades!$A:$A,$A4,Grades!$C:$C,"Spring 2026")/SUMIFS(Grades!$G:$G,Grades!$A:$A,$A4,Grades!$C:$C,"Spring 2026"),2)),"")</f>
        <v/>
      </c>
      <c r="G4" s="3">
        <f>IFERROR(MIN(4,ROUND(SUMIFS(Grades!$K:$K,Grades!$A:$A,$A4)/SUMIFS(Grades!$G:$G,Grades!$A:$A,$A4),2)),"")</f>
        <v/>
      </c>
      <c r="H4" s="3">
        <f>SUMIFS(Grades!$G:$G,Grades!$A:$A,$A4,Grades!$H:$H,"&lt;&gt;",Grades!$H:$H,"&lt;&gt;F")</f>
        <v/>
      </c>
    </row>
    <row r="5">
      <c r="A5" s="3" t="inlineStr">
        <is>
          <t>m250270</t>
        </is>
      </c>
      <c r="B5" s="3">
        <f>VLOOKUP(A5,Students!$A:$B,2,FALSE)</f>
        <v/>
      </c>
      <c r="C5" s="3">
        <f>VLOOKUP(A5,Students!$A:$K,11,FALSE)</f>
        <v/>
      </c>
      <c r="D5" s="3">
        <f>IFERROR(MIN(4,ROUND(SUMIFS(Grades!$K:$K,Grades!$A:$A,$A5,Grades!$C:$C,"Spring 2025")/SUMIFS(Grades!$G:$G,Grades!$A:$A,$A5,Grades!$C:$C,"Spring 2025"),2)),"")</f>
        <v/>
      </c>
      <c r="E5" s="3">
        <f>IFERROR(MIN(4,ROUND(SUMIFS(Grades!$K:$K,Grades!$A:$A,$A5,Grades!$C:$C,"Fall 2025")/SUMIFS(Grades!$G:$G,Grades!$A:$A,$A5,Grades!$C:$C,"Fall 2025"),2)),"")</f>
        <v/>
      </c>
      <c r="F5" s="3">
        <f>IFERROR(MIN(4,ROUND(SUMIFS(Grades!$K:$K,Grades!$A:$A,$A5,Grades!$C:$C,"Spring 2026")/SUMIFS(Grades!$G:$G,Grades!$A:$A,$A5,Grades!$C:$C,"Spring 2026"),2)),"")</f>
        <v/>
      </c>
      <c r="G5" s="3">
        <f>IFERROR(MIN(4,ROUND(SUMIFS(Grades!$K:$K,Grades!$A:$A,$A5)/SUMIFS(Grades!$G:$G,Grades!$A:$A,$A5),2)),"")</f>
        <v/>
      </c>
      <c r="H5" s="3">
        <f>SUMIFS(Grades!$G:$G,Grades!$A:$A,$A5,Grades!$H:$H,"&lt;&gt;",Grades!$H:$H,"&lt;&gt;F")</f>
        <v/>
      </c>
    </row>
    <row r="6">
      <c r="A6" s="3" t="inlineStr">
        <is>
          <t>m250271</t>
        </is>
      </c>
      <c r="B6" s="3">
        <f>VLOOKUP(A6,Students!$A:$B,2,FALSE)</f>
        <v/>
      </c>
      <c r="C6" s="3">
        <f>VLOOKUP(A6,Students!$A:$K,11,FALSE)</f>
        <v/>
      </c>
      <c r="D6" s="3">
        <f>IFERROR(MIN(4,ROUND(SUMIFS(Grades!$K:$K,Grades!$A:$A,$A6,Grades!$C:$C,"Spring 2025")/SUMIFS(Grades!$G:$G,Grades!$A:$A,$A6,Grades!$C:$C,"Spring 2025"),2)),"")</f>
        <v/>
      </c>
      <c r="E6" s="3">
        <f>IFERROR(MIN(4,ROUND(SUMIFS(Grades!$K:$K,Grades!$A:$A,$A6,Grades!$C:$C,"Fall 2025")/SUMIFS(Grades!$G:$G,Grades!$A:$A,$A6,Grades!$C:$C,"Fall 2025"),2)),"")</f>
        <v/>
      </c>
      <c r="F6" s="3">
        <f>IFERROR(MIN(4,ROUND(SUMIFS(Grades!$K:$K,Grades!$A:$A,$A6,Grades!$C:$C,"Spring 2026")/SUMIFS(Grades!$G:$G,Grades!$A:$A,$A6,Grades!$C:$C,"Spring 2026"),2)),"")</f>
        <v/>
      </c>
      <c r="G6" s="3">
        <f>IFERROR(MIN(4,ROUND(SUMIFS(Grades!$K:$K,Grades!$A:$A,$A6)/SUMIFS(Grades!$G:$G,Grades!$A:$A,$A6),2)),"")</f>
        <v/>
      </c>
      <c r="H6" s="3">
        <f>SUMIFS(Grades!$G:$G,Grades!$A:$A,$A6,Grades!$H:$H,"&lt;&gt;",Grades!$H:$H,"&lt;&gt;F")</f>
        <v/>
      </c>
    </row>
    <row r="7">
      <c r="A7" s="3" t="inlineStr">
        <is>
          <t>m250272</t>
        </is>
      </c>
      <c r="B7" s="3">
        <f>VLOOKUP(A7,Students!$A:$B,2,FALSE)</f>
        <v/>
      </c>
      <c r="C7" s="3">
        <f>VLOOKUP(A7,Students!$A:$K,11,FALSE)</f>
        <v/>
      </c>
      <c r="D7" s="3">
        <f>IFERROR(MIN(4,ROUND(SUMIFS(Grades!$K:$K,Grades!$A:$A,$A7,Grades!$C:$C,"Spring 2025")/SUMIFS(Grades!$G:$G,Grades!$A:$A,$A7,Grades!$C:$C,"Spring 2025"),2)),"")</f>
        <v/>
      </c>
      <c r="E7" s="3">
        <f>IFERROR(MIN(4,ROUND(SUMIFS(Grades!$K:$K,Grades!$A:$A,$A7,Grades!$C:$C,"Fall 2025")/SUMIFS(Grades!$G:$G,Grades!$A:$A,$A7,Grades!$C:$C,"Fall 2025"),2)),"")</f>
        <v/>
      </c>
      <c r="F7" s="3">
        <f>IFERROR(MIN(4,ROUND(SUMIFS(Grades!$K:$K,Grades!$A:$A,$A7,Grades!$C:$C,"Spring 2026")/SUMIFS(Grades!$G:$G,Grades!$A:$A,$A7,Grades!$C:$C,"Spring 2026"),2)),"")</f>
        <v/>
      </c>
      <c r="G7" s="3">
        <f>IFERROR(MIN(4,ROUND(SUMIFS(Grades!$K:$K,Grades!$A:$A,$A7)/SUMIFS(Grades!$G:$G,Grades!$A:$A,$A7),2)),"")</f>
        <v/>
      </c>
      <c r="H7" s="3">
        <f>SUMIFS(Grades!$G:$G,Grades!$A:$A,$A7,Grades!$H:$H,"&lt;&gt;",Grades!$H:$H,"&lt;&gt;F")</f>
        <v/>
      </c>
    </row>
    <row r="8">
      <c r="A8" s="3" t="inlineStr">
        <is>
          <t>m250273</t>
        </is>
      </c>
      <c r="B8" s="3">
        <f>VLOOKUP(A8,Students!$A:$B,2,FALSE)</f>
        <v/>
      </c>
      <c r="C8" s="3">
        <f>VLOOKUP(A8,Students!$A:$K,11,FALSE)</f>
        <v/>
      </c>
      <c r="D8" s="3">
        <f>IFERROR(MIN(4,ROUND(SUMIFS(Grades!$K:$K,Grades!$A:$A,$A8,Grades!$C:$C,"Spring 2025")/SUMIFS(Grades!$G:$G,Grades!$A:$A,$A8,Grades!$C:$C,"Spring 2025"),2)),"")</f>
        <v/>
      </c>
      <c r="E8" s="3">
        <f>IFERROR(MIN(4,ROUND(SUMIFS(Grades!$K:$K,Grades!$A:$A,$A8,Grades!$C:$C,"Fall 2025")/SUMIFS(Grades!$G:$G,Grades!$A:$A,$A8,Grades!$C:$C,"Fall 2025"),2)),"")</f>
        <v/>
      </c>
      <c r="F8" s="3">
        <f>IFERROR(MIN(4,ROUND(SUMIFS(Grades!$K:$K,Grades!$A:$A,$A8,Grades!$C:$C,"Spring 2026")/SUMIFS(Grades!$G:$G,Grades!$A:$A,$A8,Grades!$C:$C,"Spring 2026"),2)),"")</f>
        <v/>
      </c>
      <c r="G8" s="3">
        <f>IFERROR(MIN(4,ROUND(SUMIFS(Grades!$K:$K,Grades!$A:$A,$A8)/SUMIFS(Grades!$G:$G,Grades!$A:$A,$A8),2)),"")</f>
        <v/>
      </c>
      <c r="H8" s="3">
        <f>SUMIFS(Grades!$G:$G,Grades!$A:$A,$A8,Grades!$H:$H,"&lt;&gt;",Grades!$H:$H,"&lt;&gt;F")</f>
        <v/>
      </c>
    </row>
    <row r="9">
      <c r="A9" s="3" t="inlineStr">
        <is>
          <t>m250274</t>
        </is>
      </c>
      <c r="B9" s="3">
        <f>VLOOKUP(A9,Students!$A:$B,2,FALSE)</f>
        <v/>
      </c>
      <c r="C9" s="3">
        <f>VLOOKUP(A9,Students!$A:$K,11,FALSE)</f>
        <v/>
      </c>
      <c r="D9" s="3">
        <f>IFERROR(MIN(4,ROUND(SUMIFS(Grades!$K:$K,Grades!$A:$A,$A9,Grades!$C:$C,"Spring 2025")/SUMIFS(Grades!$G:$G,Grades!$A:$A,$A9,Grades!$C:$C,"Spring 2025"),2)),"")</f>
        <v/>
      </c>
      <c r="E9" s="3">
        <f>IFERROR(MIN(4,ROUND(SUMIFS(Grades!$K:$K,Grades!$A:$A,$A9,Grades!$C:$C,"Fall 2025")/SUMIFS(Grades!$G:$G,Grades!$A:$A,$A9,Grades!$C:$C,"Fall 2025"),2)),"")</f>
        <v/>
      </c>
      <c r="F9" s="3">
        <f>IFERROR(MIN(4,ROUND(SUMIFS(Grades!$K:$K,Grades!$A:$A,$A9,Grades!$C:$C,"Spring 2026")/SUMIFS(Grades!$G:$G,Grades!$A:$A,$A9,Grades!$C:$C,"Spring 2026"),2)),"")</f>
        <v/>
      </c>
      <c r="G9" s="3">
        <f>IFERROR(MIN(4,ROUND(SUMIFS(Grades!$K:$K,Grades!$A:$A,$A9)/SUMIFS(Grades!$G:$G,Grades!$A:$A,$A9),2)),"")</f>
        <v/>
      </c>
      <c r="H9" s="3">
        <f>SUMIFS(Grades!$G:$G,Grades!$A:$A,$A9,Grades!$H:$H,"&lt;&gt;",Grades!$H:$H,"&lt;&gt;F")</f>
        <v/>
      </c>
    </row>
    <row r="10">
      <c r="A10" s="3" t="inlineStr">
        <is>
          <t>m250275</t>
        </is>
      </c>
      <c r="B10" s="3">
        <f>VLOOKUP(A10,Students!$A:$B,2,FALSE)</f>
        <v/>
      </c>
      <c r="C10" s="3">
        <f>VLOOKUP(A10,Students!$A:$K,11,FALSE)</f>
        <v/>
      </c>
      <c r="D10" s="3">
        <f>IFERROR(MIN(4,ROUND(SUMIFS(Grades!$K:$K,Grades!$A:$A,$A10,Grades!$C:$C,"Spring 2025")/SUMIFS(Grades!$G:$G,Grades!$A:$A,$A10,Grades!$C:$C,"Spring 2025"),2)),"")</f>
        <v/>
      </c>
      <c r="E10" s="3">
        <f>IFERROR(MIN(4,ROUND(SUMIFS(Grades!$K:$K,Grades!$A:$A,$A10,Grades!$C:$C,"Fall 2025")/SUMIFS(Grades!$G:$G,Grades!$A:$A,$A10,Grades!$C:$C,"Fall 2025"),2)),"")</f>
        <v/>
      </c>
      <c r="F10" s="3">
        <f>IFERROR(MIN(4,ROUND(SUMIFS(Grades!$K:$K,Grades!$A:$A,$A10,Grades!$C:$C,"Spring 2026")/SUMIFS(Grades!$G:$G,Grades!$A:$A,$A10,Grades!$C:$C,"Spring 2026"),2)),"")</f>
        <v/>
      </c>
      <c r="G10" s="3">
        <f>IFERROR(MIN(4,ROUND(SUMIFS(Grades!$K:$K,Grades!$A:$A,$A10)/SUMIFS(Grades!$G:$G,Grades!$A:$A,$A10),2)),"")</f>
        <v/>
      </c>
      <c r="H10" s="3">
        <f>SUMIFS(Grades!$G:$G,Grades!$A:$A,$A10,Grades!$H:$H,"&lt;&gt;",Grades!$H:$H,"&lt;&gt;F")</f>
        <v/>
      </c>
    </row>
    <row r="11">
      <c r="A11" s="3" t="inlineStr">
        <is>
          <t>m250276</t>
        </is>
      </c>
      <c r="B11" s="3">
        <f>VLOOKUP(A11,Students!$A:$B,2,FALSE)</f>
        <v/>
      </c>
      <c r="C11" s="3">
        <f>VLOOKUP(A11,Students!$A:$K,11,FALSE)</f>
        <v/>
      </c>
      <c r="D11" s="3">
        <f>IFERROR(MIN(4,ROUND(SUMIFS(Grades!$K:$K,Grades!$A:$A,$A11,Grades!$C:$C,"Spring 2025")/SUMIFS(Grades!$G:$G,Grades!$A:$A,$A11,Grades!$C:$C,"Spring 2025"),2)),"")</f>
        <v/>
      </c>
      <c r="E11" s="3">
        <f>IFERROR(MIN(4,ROUND(SUMIFS(Grades!$K:$K,Grades!$A:$A,$A11,Grades!$C:$C,"Fall 2025")/SUMIFS(Grades!$G:$G,Grades!$A:$A,$A11,Grades!$C:$C,"Fall 2025"),2)),"")</f>
        <v/>
      </c>
      <c r="F11" s="3">
        <f>IFERROR(MIN(4,ROUND(SUMIFS(Grades!$K:$K,Grades!$A:$A,$A11,Grades!$C:$C,"Spring 2026")/SUMIFS(Grades!$G:$G,Grades!$A:$A,$A11,Grades!$C:$C,"Spring 2026"),2)),"")</f>
        <v/>
      </c>
      <c r="G11" s="3">
        <f>IFERROR(MIN(4,ROUND(SUMIFS(Grades!$K:$K,Grades!$A:$A,$A11)/SUMIFS(Grades!$G:$G,Grades!$A:$A,$A11),2)),"")</f>
        <v/>
      </c>
      <c r="H11" s="3">
        <f>SUMIFS(Grades!$G:$G,Grades!$A:$A,$A11,Grades!$H:$H,"&lt;&gt;",Grades!$H:$H,"&lt;&gt;F")</f>
        <v/>
      </c>
    </row>
    <row r="12">
      <c r="A12" s="3" t="inlineStr">
        <is>
          <t>m250277</t>
        </is>
      </c>
      <c r="B12" s="3">
        <f>VLOOKUP(A12,Students!$A:$B,2,FALSE)</f>
        <v/>
      </c>
      <c r="C12" s="3">
        <f>VLOOKUP(A12,Students!$A:$K,11,FALSE)</f>
        <v/>
      </c>
      <c r="D12" s="3">
        <f>IFERROR(MIN(4,ROUND(SUMIFS(Grades!$K:$K,Grades!$A:$A,$A12,Grades!$C:$C,"Spring 2025")/SUMIFS(Grades!$G:$G,Grades!$A:$A,$A12,Grades!$C:$C,"Spring 2025"),2)),"")</f>
        <v/>
      </c>
      <c r="E12" s="3">
        <f>IFERROR(MIN(4,ROUND(SUMIFS(Grades!$K:$K,Grades!$A:$A,$A12,Grades!$C:$C,"Fall 2025")/SUMIFS(Grades!$G:$G,Grades!$A:$A,$A12,Grades!$C:$C,"Fall 2025"),2)),"")</f>
        <v/>
      </c>
      <c r="F12" s="3">
        <f>IFERROR(MIN(4,ROUND(SUMIFS(Grades!$K:$K,Grades!$A:$A,$A12,Grades!$C:$C,"Spring 2026")/SUMIFS(Grades!$G:$G,Grades!$A:$A,$A12,Grades!$C:$C,"Spring 2026"),2)),"")</f>
        <v/>
      </c>
      <c r="G12" s="3">
        <f>IFERROR(MIN(4,ROUND(SUMIFS(Grades!$K:$K,Grades!$A:$A,$A12)/SUMIFS(Grades!$G:$G,Grades!$A:$A,$A12),2)),"")</f>
        <v/>
      </c>
      <c r="H12" s="3">
        <f>SUMIFS(Grades!$G:$G,Grades!$A:$A,$A12,Grades!$H:$H,"&lt;&gt;",Grades!$H:$H,"&lt;&gt;F")</f>
        <v/>
      </c>
    </row>
    <row r="13">
      <c r="A13" s="3" t="inlineStr">
        <is>
          <t>m250278</t>
        </is>
      </c>
      <c r="B13" s="3">
        <f>VLOOKUP(A13,Students!$A:$B,2,FALSE)</f>
        <v/>
      </c>
      <c r="C13" s="3">
        <f>VLOOKUP(A13,Students!$A:$K,11,FALSE)</f>
        <v/>
      </c>
      <c r="D13" s="3">
        <f>IFERROR(MIN(4,ROUND(SUMIFS(Grades!$K:$K,Grades!$A:$A,$A13,Grades!$C:$C,"Spring 2025")/SUMIFS(Grades!$G:$G,Grades!$A:$A,$A13,Grades!$C:$C,"Spring 2025"),2)),"")</f>
        <v/>
      </c>
      <c r="E13" s="3">
        <f>IFERROR(MIN(4,ROUND(SUMIFS(Grades!$K:$K,Grades!$A:$A,$A13,Grades!$C:$C,"Fall 2025")/SUMIFS(Grades!$G:$G,Grades!$A:$A,$A13,Grades!$C:$C,"Fall 2025"),2)),"")</f>
        <v/>
      </c>
      <c r="F13" s="3">
        <f>IFERROR(MIN(4,ROUND(SUMIFS(Grades!$K:$K,Grades!$A:$A,$A13,Grades!$C:$C,"Spring 2026")/SUMIFS(Grades!$G:$G,Grades!$A:$A,$A13,Grades!$C:$C,"Spring 2026"),2)),"")</f>
        <v/>
      </c>
      <c r="G13" s="3">
        <f>IFERROR(MIN(4,ROUND(SUMIFS(Grades!$K:$K,Grades!$A:$A,$A13)/SUMIFS(Grades!$G:$G,Grades!$A:$A,$A13),2)),"")</f>
        <v/>
      </c>
      <c r="H13" s="3">
        <f>SUMIFS(Grades!$G:$G,Grades!$A:$A,$A13,Grades!$H:$H,"&lt;&gt;",Grades!$H:$H,"&lt;&gt;F")</f>
        <v/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2026-10-08T08:41:49Z</dcterms:created>
  <dcterms:modified xmlns:dcterms="http://purl.org/dc/terms/" xmlns:xsi="http://www.w3.org/2001/XMLSchema-instance" xsi:type="dcterms:W3CDTF">2026-10-08T08:41:49Z</dcterms:modified>
</cp:coreProperties>
</file>